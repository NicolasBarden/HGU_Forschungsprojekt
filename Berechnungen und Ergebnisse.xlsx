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barden\Desktop\Master\forschungsprojekt\"/>
    </mc:Choice>
  </mc:AlternateContent>
  <xr:revisionPtr revIDLastSave="0" documentId="13_ncr:1_{737E6D56-728D-4D5C-A478-966289DD790C}" xr6:coauthVersionLast="47" xr6:coauthVersionMax="47" xr10:uidLastSave="{00000000-0000-0000-0000-000000000000}"/>
  <bookViews>
    <workbookView xWindow="28680" yWindow="-120" windowWidth="29040" windowHeight="15720" xr2:uid="{03A96A9A-4E9B-B94F-B243-E234AB4AD7B6}"/>
  </bookViews>
  <sheets>
    <sheet name="tidy and sort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" i="2" l="1"/>
  <c r="J10" i="2"/>
  <c r="G10" i="2"/>
  <c r="C10" i="2"/>
  <c r="W17" i="2"/>
  <c r="V17" i="2"/>
  <c r="U17" i="2"/>
  <c r="T17" i="2"/>
  <c r="S17" i="2"/>
  <c r="R17" i="2"/>
  <c r="Q17" i="2"/>
  <c r="P17" i="2"/>
  <c r="O17" i="2"/>
  <c r="K17" i="2"/>
  <c r="J17" i="2"/>
  <c r="I17" i="2"/>
  <c r="H17" i="2"/>
  <c r="G1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B8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4" i="2"/>
</calcChain>
</file>

<file path=xl/sharedStrings.xml><?xml version="1.0" encoding="utf-8"?>
<sst xmlns="http://schemas.openxmlformats.org/spreadsheetml/2006/main" count="153" uniqueCount="114">
  <si>
    <t>Rolle</t>
  </si>
  <si>
    <t>Strukturierte fachliche Betreuung&lt;tab&gt;: 1. Studienjahr</t>
  </si>
  <si>
    <t>Strukturierte fachliche Betreuung&lt;tab&gt;: 2. Studienjahr</t>
  </si>
  <si>
    <t>Strukturierte fachliche Betreuung&lt;tab&gt;: 3. Studienjahr</t>
  </si>
  <si>
    <t>Möglichkeit zur Kompetenzentwicklung: 1. Studienjahr</t>
  </si>
  <si>
    <t>Möglichkeit zur Kompetenzentwicklung: 2. Studienjahr</t>
  </si>
  <si>
    <t>Möglichkeit zur Kompetenzentwicklung: 3. Studienjahr</t>
  </si>
  <si>
    <t>Planbarkeit der Praxiseinsätze&lt;tab&gt;: 1. Studienjahr</t>
  </si>
  <si>
    <t>Planbarkeit der Praxiseinsätze&lt;tab&gt;: 2. Studienjahr</t>
  </si>
  <si>
    <t>Planbarkeit der Praxiseinsätze&lt;tab&gt;: 3. Studienjahr</t>
  </si>
  <si>
    <t>Transparenz von Leistungsanforderungen: 1. Studienjahr</t>
  </si>
  <si>
    <t>Transparenz von Leistungsanforderungen: 2. Studienjahr</t>
  </si>
  <si>
    <t>Transparenz von Leistungsanforderungen: 3. Studienjahr</t>
  </si>
  <si>
    <t>Perspektive auf Karrieremöglichkeiten: 1. Studienjahr</t>
  </si>
  <si>
    <t>Perspektive auf Karrieremöglichkeiten: 2. Studienjahr</t>
  </si>
  <si>
    <t>Perspektive auf Karrieremöglichkeiten: 3. Studienjahr</t>
  </si>
  <si>
    <t>Anspruchsvolle und lernförderliche Aufgabenglichkeiten: 1. Studienjahr</t>
  </si>
  <si>
    <t>Anspruchsvolle und lernförderliche Aufgabenglichkeiten: 2. Studienjahr</t>
  </si>
  <si>
    <t>Anspruchsvolle und lernförderliche Aufgabenglichkeiten: 3. Studienjahr</t>
  </si>
  <si>
    <t>Regelmäßige Reflexions- oder Entwicklungsgespräche: 1. Studienjahr</t>
  </si>
  <si>
    <t>Regelmäßige Reflexions- oder Entwicklungsgespräche: 2. Studienjahr</t>
  </si>
  <si>
    <t>Regelmäßige Reflexions- oder Entwicklungsgespräche: 3. Studienjahr</t>
  </si>
  <si>
    <t>Unterstützung bei der Verbindung von Theorie und Praxisder Entwicklungsgespräche: 1. Studienjahr</t>
  </si>
  <si>
    <t>Unterstützung bei der Verbindung von Theorie und Praxisder Entwicklungsgespräche: 2. Studienjahr</t>
  </si>
  <si>
    <t>Unterstützung bei der Verbindung von Theorie und Praxisder Entwicklungsgespräche: 3. Studienjahr</t>
  </si>
  <si>
    <t>Offene und transparente Kommunikation: 1. Studienjahr</t>
  </si>
  <si>
    <t>Offene und transparente Kommunikation: 2. Studienjahr</t>
  </si>
  <si>
    <t>Offene und transparente Kommunikation: 3. Studienjahr</t>
  </si>
  <si>
    <t>Respektvoller Umgang&lt;tab&gt;: 1. Studienjahr</t>
  </si>
  <si>
    <t>Respektvoller Umgang&lt;tab&gt;: 2. Studienjahr</t>
  </si>
  <si>
    <t>Respektvoller Umgang&lt;tab&gt;: 3. Studienjahr</t>
  </si>
  <si>
    <t>Regelmäßiges konstruktives Feedbackommunikation: 1. Studienjahr</t>
  </si>
  <si>
    <t>Regelmäßiges konstruktives Feedbackommunikation: 2. Studienjahr</t>
  </si>
  <si>
    <t>Regelmäßiges konstruktives Feedbackommunikation: 3. Studienjahr</t>
  </si>
  <si>
    <t>Loyalität gegenüber Einsatzbereichommunikation: 1. Studienjahr</t>
  </si>
  <si>
    <t>Loyalität gegenüber Einsatzbereichommunikation: 2. Studienjahr</t>
  </si>
  <si>
    <t>Loyalität gegenüber Einsatzbereichommunikation: 3. Studienjahr</t>
  </si>
  <si>
    <t>Fairness bei Studi-Check: 1. Studienjahr</t>
  </si>
  <si>
    <t>Fairness bei Studi-Check: 2. Studienjahr</t>
  </si>
  <si>
    <t>Fairness bei Studi-Check: 3. Studienjahr</t>
  </si>
  <si>
    <t>Bereitschaft zur gegenseitigen Unterstützung: 1. Studienjahr</t>
  </si>
  <si>
    <t>Bereitschaft zur gegenseitigen Unterstützung: 2. Studienjahr</t>
  </si>
  <si>
    <t>Bereitschaft zur gegenseitigen Unterstützung: 3. Studienjahr</t>
  </si>
  <si>
    <t>Konstruktive Fehlerkultur: 1. Studienjahr</t>
  </si>
  <si>
    <t>Konstruktive Fehlerkultur: 2. Studienjahr</t>
  </si>
  <si>
    <t>Konstruktive Fehlerkultur: 3. Studienjahr</t>
  </si>
  <si>
    <t>Sorgfalt in der Aufgabenerfüllung&lt;tab&gt;: 1. Studienjahr</t>
  </si>
  <si>
    <t>Sorgfalt in der Aufgabenerfüllung&lt;tab&gt;: 2. Studienjahr</t>
  </si>
  <si>
    <t>Sorgfalt in der Aufgabenerfüllung&lt;tab&gt;: 3. Studienjahr</t>
  </si>
  <si>
    <t>Pünktlichkeit und Termintreue&lt;tab&gt;n : 1. Studienjahr</t>
  </si>
  <si>
    <t>Pünktlichkeit und Termintreue&lt;tab&gt;n : 2. Studienjahr</t>
  </si>
  <si>
    <t>Pünktlichkeit und Termintreue&lt;tab&gt;n : 3. Studienjahr</t>
  </si>
  <si>
    <t>Verlässlichkeit im Arbeitsalltag: 1. Studienjahr</t>
  </si>
  <si>
    <t>Verlässlichkeit im Arbeitsalltag: 2. Studienjahr</t>
  </si>
  <si>
    <t>Verlässlichkeit im Arbeitsalltag: 3. Studienjahr</t>
  </si>
  <si>
    <t>Engagement und Arbeitsmoraln : 1. Studienjahr</t>
  </si>
  <si>
    <t>Engagement und Arbeitsmoraln : 2. Studienjahr</t>
  </si>
  <si>
    <t>Engagement und Arbeitsmoraln : 3. Studienjahr</t>
  </si>
  <si>
    <t>Selbstständigkeit bei Aufgabenerledigung&lt;tab&gt;n : 1. Studienjahr</t>
  </si>
  <si>
    <t>Selbstständigkeit bei Aufgabenerledigung&lt;tab&gt;n : 2. Studienjahr</t>
  </si>
  <si>
    <t>Selbstständigkeit bei Aufgabenerledigung&lt;tab&gt;n : 3. Studienjahr</t>
  </si>
  <si>
    <t>Einhalten von Absprachen und formalen Regeln&lt;tab&gt;: 1. Studienjahr</t>
  </si>
  <si>
    <t>Einhalten von Absprachen und formalen Regeln&lt;tab&gt;: 2. Studienjahr</t>
  </si>
  <si>
    <t>Einhalten von Absprachen und formalen Regeln&lt;tab&gt;: 3. Studienjahr</t>
  </si>
  <si>
    <t>Verantwortungsbewusster Umgang mit Ressourcen : 1. Studienjahr</t>
  </si>
  <si>
    <t>Verantwortungsbewusster Umgang mit Ressourcen : 2. Studienjahr</t>
  </si>
  <si>
    <t>Verantwortungsbewusster Umgang mit Ressourcen : 3. Studienjahr</t>
  </si>
  <si>
    <t>Leistungsbereitschaft auch bei weniger attraktiven Aufgaben    : 1. Studienjahr</t>
  </si>
  <si>
    <t>Leistungsbereitschaft auch bei weniger attraktiven Aufgaben    : 2. Studienjahr</t>
  </si>
  <si>
    <t>Leistungsbereitschaft auch bei weniger attraktiven Aufgaben    : 3. Studienjahr</t>
  </si>
  <si>
    <t>Aus- und Weiterbildungsbeauftragte/r</t>
  </si>
  <si>
    <t>Studis</t>
  </si>
  <si>
    <t>Differenz</t>
  </si>
  <si>
    <t>Strukturierte fachliche Betreuung</t>
  </si>
  <si>
    <t>Möglichkeit zur Kompetenzentwicklung</t>
  </si>
  <si>
    <t>Planbarkeit der Praxiseinsätze</t>
  </si>
  <si>
    <t>Transparenz von Leistungsanforderungen</t>
  </si>
  <si>
    <t>Perspektive auf Karrieremöglichkeiten</t>
  </si>
  <si>
    <t>Anspruchsvolle und lernförderliche Aufgaben</t>
  </si>
  <si>
    <t>Regelmäßige Reflexions- und Entwicklungsgespräche</t>
  </si>
  <si>
    <t>Unterstützung bei der Verbindung von Theorie und Praxis</t>
  </si>
  <si>
    <t>Offene und transparente Komunikation</t>
  </si>
  <si>
    <t>Respektvoller Umgang</t>
  </si>
  <si>
    <t>Regelmäßige konstruktive Feedbackkommunikation</t>
  </si>
  <si>
    <t>Loyalität gegenüber dem Einsatzbereich</t>
  </si>
  <si>
    <t>Fairness beim Studi-Check</t>
  </si>
  <si>
    <t>Bereitschaft zur Gegenseitigen Unterstützung</t>
  </si>
  <si>
    <t>Konstruktive Fehlerkultur</t>
  </si>
  <si>
    <t>Sorgfalt in der Aufgabenerfüllung</t>
  </si>
  <si>
    <t>Pünktlichkeit und Termintreue</t>
  </si>
  <si>
    <t>Verlässlichkeit im Arbeitsalltag</t>
  </si>
  <si>
    <t>Engagement und Arbeitsmoral</t>
  </si>
  <si>
    <t>Selbstständigkeit bei Aufgabenerledigung</t>
  </si>
  <si>
    <t>Einhalten von Absprachen und formalen Regeln</t>
  </si>
  <si>
    <t>Verantwortungsbewusster Umgang mit Ressourcen</t>
  </si>
  <si>
    <t>Leistungsbereitschaft auch bei weniger Attraktiven Aufgaben</t>
  </si>
  <si>
    <t>AW</t>
  </si>
  <si>
    <t>deskr. Statistik der gemittelten Werte:</t>
  </si>
  <si>
    <t xml:space="preserve">Jahresgemittelte Differenz über alle Erwartungen: </t>
  </si>
  <si>
    <t>ergo sehr gering!</t>
  </si>
  <si>
    <t xml:space="preserve">Standard-abweichung: </t>
  </si>
  <si>
    <t>Varianz:</t>
  </si>
  <si>
    <t>Spannweite:</t>
  </si>
  <si>
    <t xml:space="preserve">Generell: Die meisten Erwartungen sind relativ kongruent!; Erwartungen konvergieren in fast alle Fällen über die drei Jahre; Studierende haben generell höhere Erwartungen als AW-Beauftragte; </t>
  </si>
  <si>
    <t>5 größte Differenzen (über die Jahre gemittelt)</t>
  </si>
  <si>
    <t>Die gute Nachricht: Große Übereinstimmungen hoher Werte in allen drei impliziten Erwartungsdimensionen (ausgewählte Beispiele)</t>
  </si>
  <si>
    <t>Aus- und Weiterbildungsbeauftragte</t>
  </si>
  <si>
    <t>Studierende</t>
  </si>
  <si>
    <t>Differenz größer gleich 1</t>
  </si>
  <si>
    <t>Differenz kleiner gleich 0,4</t>
  </si>
  <si>
    <t>Auswertungshinweis: Große Verunsicherung und Unterschiede im 1. Studienjahr</t>
  </si>
  <si>
    <t>5 größte Differenzen (1. Jahr)</t>
  </si>
  <si>
    <t>5 größte Differenzen (3. Jahr)</t>
  </si>
  <si>
    <t>5 größte Differenzen (2. Jahr)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</si>
</sst>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4" fontId="1" fillId="2" borderId="0" xfId="0" applyNumberFormat="1" applyFont="1" applyFill="1"/>
    <xf numFmtId="164" fontId="0" fillId="2" borderId="0" xfId="0" applyNumberFormat="1" applyFill="1"/>
    <xf numFmtId="2" fontId="0" fillId="2" borderId="0" xfId="0" applyNumberFormat="1" applyFill="1"/>
    <xf numFmtId="49" fontId="0" fillId="2" borderId="0" xfId="0" applyNumberFormat="1" applyFill="1"/>
    <xf numFmtId="164" fontId="1" fillId="3" borderId="0" xfId="0" applyNumberFormat="1" applyFont="1" applyFill="1"/>
    <xf numFmtId="164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0" fontId="0" fillId="2" borderId="0" xfId="0" applyFill="1"/>
    <xf numFmtId="0" fontId="3" fillId="0" borderId="0" xfId="0" applyFont="1"/>
    <xf numFmtId="0" fontId="4" fillId="0" borderId="0" xfId="0" applyFont="1"/>
    <xf numFmtId="164" fontId="0" fillId="0" borderId="0" xfId="0" applyNumberFormat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DE228"/>
      <color rgb="FFEEEB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5 große Differenzen</a:t>
            </a:r>
            <a:r>
              <a:rPr lang="de-DE" baseline="0"/>
              <a:t> in Erwartungen</a:t>
            </a:r>
          </a:p>
          <a:p>
            <a:pPr>
              <a:defRPr/>
            </a:pPr>
            <a:r>
              <a:rPr lang="de-DE" baseline="0"/>
              <a:t>(3-jahres-Mittel)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060058032729417"/>
          <c:y val="0.19034432482765382"/>
          <c:w val="0.48252526760618236"/>
          <c:h val="0.75895117946874902"/>
        </c:manualLayout>
      </c:layout>
      <c:radarChart>
        <c:radarStyle val="filled"/>
        <c:varyColors val="0"/>
        <c:ser>
          <c:idx val="0"/>
          <c:order val="0"/>
          <c:tx>
            <c:strRef>
              <c:f>'tidy and sorted'!$F$15</c:f>
              <c:strCache>
                <c:ptCount val="1"/>
                <c:pt idx="0">
                  <c:v>Aus- und Weiterbildungsbeauftragte</c:v>
                </c:pt>
              </c:strCache>
            </c:strRef>
          </c:tx>
          <c:spPr>
            <a:noFill/>
            <a:ln w="44450">
              <a:solidFill>
                <a:srgbClr val="0070C0"/>
              </a:solidFill>
              <a:prstDash val="solid"/>
            </a:ln>
            <a:effectLst/>
          </c:spPr>
          <c:cat>
            <c:strRef>
              <c:f>'tidy and sorted'!$G$14:$K$14</c:f>
              <c:strCache>
                <c:ptCount val="5"/>
                <c:pt idx="0">
                  <c:v>Perspektive auf Karrieremöglichkeiten</c:v>
                </c:pt>
                <c:pt idx="1">
                  <c:v>Offene und transparente Komunikation</c:v>
                </c:pt>
                <c:pt idx="2">
                  <c:v>Bereitschaft zur Gegenseitigen Unterstützung</c:v>
                </c:pt>
                <c:pt idx="3">
                  <c:v>Selbstständigkeit bei Aufgabenerledigung</c:v>
                </c:pt>
                <c:pt idx="4">
                  <c:v>Verantwortungsbewusster Umgang mit Ressourcen</c:v>
                </c:pt>
              </c:strCache>
            </c:strRef>
          </c:cat>
          <c:val>
            <c:numRef>
              <c:f>'tidy and sorted'!$G$15:$K$15</c:f>
              <c:numCache>
                <c:formatCode>0.0</c:formatCode>
                <c:ptCount val="5"/>
                <c:pt idx="0">
                  <c:v>5.4722222222222223</c:v>
                </c:pt>
                <c:pt idx="1">
                  <c:v>7.9722222222222232</c:v>
                </c:pt>
                <c:pt idx="2">
                  <c:v>7.8055555555555554</c:v>
                </c:pt>
                <c:pt idx="3">
                  <c:v>5.9230769230769234</c:v>
                </c:pt>
                <c:pt idx="4">
                  <c:v>6.8461538461538467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1-674A-83EF-3591F962C289}"/>
            </c:ext>
          </c:extLst>
        </c:ser>
        <c:ser>
          <c:idx val="1"/>
          <c:order val="1"/>
          <c:tx>
            <c:strRef>
              <c:f>'tidy and sorted'!$F$16</c:f>
              <c:strCache>
                <c:ptCount val="1"/>
                <c:pt idx="0">
                  <c:v>Studierende</c:v>
                </c:pt>
              </c:strCache>
            </c:strRef>
          </c:tx>
          <c:spPr>
            <a:noFill/>
            <a:ln w="44450" cmpd="sng">
              <a:solidFill>
                <a:schemeClr val="accent2"/>
              </a:solidFill>
              <a:prstDash val="solid"/>
            </a:ln>
            <a:effectLst/>
          </c:spPr>
          <c:cat>
            <c:strRef>
              <c:f>'tidy and sorted'!$G$14:$K$14</c:f>
              <c:strCache>
                <c:ptCount val="5"/>
                <c:pt idx="0">
                  <c:v>Perspektive auf Karrieremöglichkeiten</c:v>
                </c:pt>
                <c:pt idx="1">
                  <c:v>Offene und transparente Komunikation</c:v>
                </c:pt>
                <c:pt idx="2">
                  <c:v>Bereitschaft zur Gegenseitigen Unterstützung</c:v>
                </c:pt>
                <c:pt idx="3">
                  <c:v>Selbstständigkeit bei Aufgabenerledigung</c:v>
                </c:pt>
                <c:pt idx="4">
                  <c:v>Verantwortungsbewusster Umgang mit Ressourcen</c:v>
                </c:pt>
              </c:strCache>
            </c:strRef>
          </c:cat>
          <c:val>
            <c:numRef>
              <c:f>'tidy and sorted'!$G$16:$K$16</c:f>
              <c:numCache>
                <c:formatCode>0.0</c:formatCode>
                <c:ptCount val="5"/>
                <c:pt idx="0">
                  <c:v>7.7727708115639143</c:v>
                </c:pt>
                <c:pt idx="1">
                  <c:v>9.2831787260358691</c:v>
                </c:pt>
                <c:pt idx="2">
                  <c:v>8.7900845186559486</c:v>
                </c:pt>
                <c:pt idx="3">
                  <c:v>7.7856341189674527</c:v>
                </c:pt>
                <c:pt idx="4">
                  <c:v>8.1167227833894504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1-674A-83EF-3591F962C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41007"/>
        <c:axId val="36742719"/>
      </c:radarChart>
      <c:catAx>
        <c:axId val="3674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2719"/>
        <c:crosses val="autoZero"/>
        <c:auto val="1"/>
        <c:lblAlgn val="ctr"/>
        <c:lblOffset val="100"/>
        <c:noMultiLvlLbl val="0"/>
      </c:catAx>
      <c:valAx>
        <c:axId val="36742719"/>
        <c:scaling>
          <c:orientation val="minMax"/>
          <c:max val="10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100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Weitgehende</a:t>
            </a:r>
            <a:r>
              <a:rPr lang="de-DE" baseline="0"/>
              <a:t> Übereinstimmung der impliziten Erwartungen in allen drei Dimensionen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'tidy and sorted'!$N$15</c:f>
              <c:strCache>
                <c:ptCount val="1"/>
                <c:pt idx="0">
                  <c:v>Aus- und Weiterbildungsbeauftragte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'tidy and sorted'!$O$14:$W$14</c:f>
              <c:strCache>
                <c:ptCount val="9"/>
                <c:pt idx="0">
                  <c:v>Strukturierte fachliche Betreuung</c:v>
                </c:pt>
                <c:pt idx="1">
                  <c:v>Planbarkeit der Praxiseinsätze</c:v>
                </c:pt>
                <c:pt idx="2">
                  <c:v>Transparenz von Leistungsanforderungen</c:v>
                </c:pt>
                <c:pt idx="3">
                  <c:v>Respektvoller Umgang</c:v>
                </c:pt>
                <c:pt idx="4">
                  <c:v>Fairness beim Studi-Check</c:v>
                </c:pt>
                <c:pt idx="5">
                  <c:v>Verlässlichkeit im Arbeitsalltag</c:v>
                </c:pt>
                <c:pt idx="6">
                  <c:v>Engagement und Arbeitsmoral</c:v>
                </c:pt>
                <c:pt idx="7">
                  <c:v>Einhalten von Absprachen und formalen Regeln</c:v>
                </c:pt>
                <c:pt idx="8">
                  <c:v>Leistungsbereitschaft auch bei weniger Attraktiven Aufgaben</c:v>
                </c:pt>
              </c:strCache>
            </c:strRef>
          </c:cat>
          <c:val>
            <c:numRef>
              <c:f>'tidy and sorted'!$O$15:$W$15</c:f>
              <c:numCache>
                <c:formatCode>0.0</c:formatCode>
                <c:ptCount val="9"/>
                <c:pt idx="0">
                  <c:v>8.5</c:v>
                </c:pt>
                <c:pt idx="1">
                  <c:v>9</c:v>
                </c:pt>
                <c:pt idx="2">
                  <c:v>8.3333333333333339</c:v>
                </c:pt>
                <c:pt idx="3">
                  <c:v>9.6111111111111107</c:v>
                </c:pt>
                <c:pt idx="4">
                  <c:v>9.1666666666666661</c:v>
                </c:pt>
                <c:pt idx="5">
                  <c:v>9.1282051282051277</c:v>
                </c:pt>
                <c:pt idx="6">
                  <c:v>8.7692307692307683</c:v>
                </c:pt>
                <c:pt idx="7">
                  <c:v>9.5384615384615383</c:v>
                </c:pt>
                <c:pt idx="8">
                  <c:v>7.7948717948717956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E-4C46-86EA-70584DCFE7BB}"/>
            </c:ext>
          </c:extLst>
        </c:ser>
        <c:ser>
          <c:idx val="1"/>
          <c:order val="1"/>
          <c:tx>
            <c:strRef>
              <c:f>'tidy and sorted'!$N$16</c:f>
              <c:strCache>
                <c:ptCount val="1"/>
                <c:pt idx="0">
                  <c:v>Studierende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'tidy and sorted'!$O$14:$W$14</c:f>
              <c:strCache>
                <c:ptCount val="9"/>
                <c:pt idx="0">
                  <c:v>Strukturierte fachliche Betreuung</c:v>
                </c:pt>
                <c:pt idx="1">
                  <c:v>Planbarkeit der Praxiseinsätze</c:v>
                </c:pt>
                <c:pt idx="2">
                  <c:v>Transparenz von Leistungsanforderungen</c:v>
                </c:pt>
                <c:pt idx="3">
                  <c:v>Respektvoller Umgang</c:v>
                </c:pt>
                <c:pt idx="4">
                  <c:v>Fairness beim Studi-Check</c:v>
                </c:pt>
                <c:pt idx="5">
                  <c:v>Verlässlichkeit im Arbeitsalltag</c:v>
                </c:pt>
                <c:pt idx="6">
                  <c:v>Engagement und Arbeitsmoral</c:v>
                </c:pt>
                <c:pt idx="7">
                  <c:v>Einhalten von Absprachen und formalen Regeln</c:v>
                </c:pt>
                <c:pt idx="8">
                  <c:v>Leistungsbereitschaft auch bei weniger Attraktiven Aufgaben</c:v>
                </c:pt>
              </c:strCache>
            </c:strRef>
          </c:cat>
          <c:val>
            <c:numRef>
              <c:f>'tidy and sorted'!$O$16:$W$16</c:f>
              <c:numCache>
                <c:formatCode>0.0</c:formatCode>
                <c:ptCount val="9"/>
                <c:pt idx="0">
                  <c:v>8.5517686031259039</c:v>
                </c:pt>
                <c:pt idx="1">
                  <c:v>8.7958899338209697</c:v>
                </c:pt>
                <c:pt idx="2">
                  <c:v>8.7139498432601865</c:v>
                </c:pt>
                <c:pt idx="3">
                  <c:v>9.556400742115029</c:v>
                </c:pt>
                <c:pt idx="4">
                  <c:v>9.1268810554524844</c:v>
                </c:pt>
                <c:pt idx="5">
                  <c:v>9.21324354657688</c:v>
                </c:pt>
                <c:pt idx="6">
                  <c:v>8.6978114478114481</c:v>
                </c:pt>
                <c:pt idx="7">
                  <c:v>9.2269921436588103</c:v>
                </c:pt>
                <c:pt idx="8">
                  <c:v>7.9141414141414135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E-4C46-86EA-70584DCFE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955247"/>
        <c:axId val="828935071"/>
      </c:radarChart>
      <c:catAx>
        <c:axId val="82895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35071"/>
        <c:crosses val="autoZero"/>
        <c:auto val="1"/>
        <c:lblAlgn val="ctr"/>
        <c:lblOffset val="100"/>
        <c:noMultiLvlLbl val="0"/>
      </c:catAx>
      <c:valAx>
        <c:axId val="828935071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5524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5 Differenzen in Erwartungen</a:t>
            </a:r>
          </a:p>
          <a:p>
            <a:pPr>
              <a:defRPr/>
            </a:pPr>
            <a:r>
              <a:rPr lang="de-DE"/>
              <a:t>(1.</a:t>
            </a:r>
            <a:r>
              <a:rPr lang="de-DE" baseline="0"/>
              <a:t> Studienjahr)</a:t>
            </a:r>
            <a:r>
              <a:rPr lang="de-DE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'tidy and sorted'!$C$50</c:f>
              <c:strCache>
                <c:ptCount val="1"/>
                <c:pt idx="0">
                  <c:v>Aus- und Weiterbildungsbeauftragte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'tidy and sorted'!$D$49:$H$49</c:f>
              <c:strCache>
                <c:ptCount val="5"/>
                <c:pt idx="0">
                  <c:v>Perspektive auf Karrieremöglichkeiten</c:v>
                </c:pt>
                <c:pt idx="1">
                  <c:v>Offene und transparente Komunikation</c:v>
                </c:pt>
                <c:pt idx="2">
                  <c:v>Bereitschaft zur Gegenseitigen Unterstützung</c:v>
                </c:pt>
                <c:pt idx="3">
                  <c:v>Selbstständigkeit bei Aufgabenerledigung</c:v>
                </c:pt>
                <c:pt idx="4">
                  <c:v>Verantwortungsbewusster Umgang mit Ressourcen</c:v>
                </c:pt>
              </c:strCache>
            </c:strRef>
          </c:cat>
          <c:val>
            <c:numRef>
              <c:f>'tidy and sorted'!$D$50:$H$50</c:f>
              <c:numCache>
                <c:formatCode>0.0</c:formatCode>
                <c:ptCount val="5"/>
                <c:pt idx="0">
                  <c:v>4.25</c:v>
                </c:pt>
                <c:pt idx="1">
                  <c:v>7</c:v>
                </c:pt>
                <c:pt idx="2">
                  <c:v>6.666666666666667</c:v>
                </c:pt>
                <c:pt idx="3">
                  <c:v>3.6153846153846154</c:v>
                </c:pt>
                <c:pt idx="4">
                  <c:v>5.8461538461538458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8-F94D-910A-6F892DF2CFD9}"/>
            </c:ext>
          </c:extLst>
        </c:ser>
        <c:ser>
          <c:idx val="1"/>
          <c:order val="1"/>
          <c:tx>
            <c:strRef>
              <c:f>'tidy and sorted'!$C$51</c:f>
              <c:strCache>
                <c:ptCount val="1"/>
                <c:pt idx="0">
                  <c:v>Studierende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'tidy and sorted'!$D$49:$H$49</c:f>
              <c:strCache>
                <c:ptCount val="5"/>
                <c:pt idx="0">
                  <c:v>Perspektive auf Karrieremöglichkeiten</c:v>
                </c:pt>
                <c:pt idx="1">
                  <c:v>Offene und transparente Komunikation</c:v>
                </c:pt>
                <c:pt idx="2">
                  <c:v>Bereitschaft zur Gegenseitigen Unterstützung</c:v>
                </c:pt>
                <c:pt idx="3">
                  <c:v>Selbstständigkeit bei Aufgabenerledigung</c:v>
                </c:pt>
                <c:pt idx="4">
                  <c:v>Verantwortungsbewusster Umgang mit Ressourcen</c:v>
                </c:pt>
              </c:strCache>
            </c:strRef>
          </c:cat>
          <c:val>
            <c:numRef>
              <c:f>'tidy and sorted'!$D$51:$H$51</c:f>
              <c:numCache>
                <c:formatCode>0.0</c:formatCode>
                <c:ptCount val="5"/>
                <c:pt idx="0">
                  <c:v>7.791666666666667</c:v>
                </c:pt>
                <c:pt idx="1">
                  <c:v>9.204081632653061</c:v>
                </c:pt>
                <c:pt idx="2">
                  <c:v>8.7551020408163271</c:v>
                </c:pt>
                <c:pt idx="3">
                  <c:v>7.2962962962962967</c:v>
                </c:pt>
                <c:pt idx="4">
                  <c:v>8.4259259259259256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18-F94D-910A-6F892DF2C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51407"/>
        <c:axId val="37553119"/>
      </c:radarChart>
      <c:catAx>
        <c:axId val="375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3119"/>
        <c:crosses val="autoZero"/>
        <c:auto val="1"/>
        <c:lblAlgn val="ctr"/>
        <c:lblOffset val="100"/>
        <c:noMultiLvlLbl val="0"/>
      </c:catAx>
      <c:valAx>
        <c:axId val="3755311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140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5 Differenzen in Erwartungen</a:t>
            </a:r>
          </a:p>
          <a:p>
            <a:pPr>
              <a:defRPr/>
            </a:pPr>
            <a:r>
              <a:rPr lang="de-DE"/>
              <a:t>(2. Studienjahr)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'tidy and sorted'!$C$80</c:f>
              <c:strCache>
                <c:ptCount val="1"/>
                <c:pt idx="0">
                  <c:v>Aus- und Weiterbildungsbeauftragte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'tidy and sorted'!$D$79:$H$79</c:f>
              <c:strCache>
                <c:ptCount val="5"/>
                <c:pt idx="0">
                  <c:v>Perspektive auf Karrieremöglichkeiten</c:v>
                </c:pt>
                <c:pt idx="1">
                  <c:v>Offene und transparente Komunikation</c:v>
                </c:pt>
                <c:pt idx="2">
                  <c:v>Bereitschaft zur Gegenseitigen Unterstützung</c:v>
                </c:pt>
                <c:pt idx="3">
                  <c:v>Selbstständigkeit bei Aufgabenerledigung</c:v>
                </c:pt>
                <c:pt idx="4">
                  <c:v>Verantwortungsbewusster Umgang mit Ressourcen</c:v>
                </c:pt>
              </c:strCache>
            </c:strRef>
          </c:cat>
          <c:val>
            <c:numRef>
              <c:f>'tidy and sorted'!$D$80:$H$80</c:f>
              <c:numCache>
                <c:formatCode>0.0</c:formatCode>
                <c:ptCount val="5"/>
                <c:pt idx="0">
                  <c:v>5</c:v>
                </c:pt>
                <c:pt idx="1">
                  <c:v>8.0833333333333339</c:v>
                </c:pt>
                <c:pt idx="2">
                  <c:v>7.916666666666667</c:v>
                </c:pt>
                <c:pt idx="3">
                  <c:v>5.8461538461538458</c:v>
                </c:pt>
                <c:pt idx="4">
                  <c:v>6.7692307692307692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4-E045-9EFC-79D14D961A24}"/>
            </c:ext>
          </c:extLst>
        </c:ser>
        <c:ser>
          <c:idx val="1"/>
          <c:order val="1"/>
          <c:tx>
            <c:strRef>
              <c:f>'tidy and sorted'!$C$81</c:f>
              <c:strCache>
                <c:ptCount val="1"/>
                <c:pt idx="0">
                  <c:v>Studierende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'tidy and sorted'!$D$79:$H$79</c:f>
              <c:strCache>
                <c:ptCount val="5"/>
                <c:pt idx="0">
                  <c:v>Perspektive auf Karrieremöglichkeiten</c:v>
                </c:pt>
                <c:pt idx="1">
                  <c:v>Offene und transparente Komunikation</c:v>
                </c:pt>
                <c:pt idx="2">
                  <c:v>Bereitschaft zur Gegenseitigen Unterstützung</c:v>
                </c:pt>
                <c:pt idx="3">
                  <c:v>Selbstständigkeit bei Aufgabenerledigung</c:v>
                </c:pt>
                <c:pt idx="4">
                  <c:v>Verantwortungsbewusster Umgang mit Ressourcen</c:v>
                </c:pt>
              </c:strCache>
            </c:strRef>
          </c:cat>
          <c:val>
            <c:numRef>
              <c:f>'tidy and sorted'!$D$81:$H$81</c:f>
              <c:numCache>
                <c:formatCode>0.0</c:formatCode>
                <c:ptCount val="5"/>
                <c:pt idx="0">
                  <c:v>7.3448275862068968</c:v>
                </c:pt>
                <c:pt idx="1">
                  <c:v>9.1</c:v>
                </c:pt>
                <c:pt idx="2">
                  <c:v>8.4333333333333336</c:v>
                </c:pt>
                <c:pt idx="3">
                  <c:v>7.3939393939393936</c:v>
                </c:pt>
                <c:pt idx="4">
                  <c:v>7.7575757575757578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4-E045-9EFC-79D14D961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842175"/>
        <c:axId val="851843887"/>
      </c:radarChart>
      <c:catAx>
        <c:axId val="85184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43887"/>
        <c:crosses val="autoZero"/>
        <c:auto val="1"/>
        <c:lblAlgn val="ctr"/>
        <c:lblOffset val="100"/>
        <c:noMultiLvlLbl val="0"/>
      </c:catAx>
      <c:valAx>
        <c:axId val="8518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4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5 Differenzen in Erwartungen</a:t>
            </a:r>
          </a:p>
          <a:p>
            <a:pPr>
              <a:defRPr/>
            </a:pPr>
            <a:r>
              <a:rPr lang="de-DE"/>
              <a:t>(3. Studienjahr)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'tidy and sorted'!$C$85</c:f>
              <c:strCache>
                <c:ptCount val="1"/>
                <c:pt idx="0">
                  <c:v>Aus- und Weiterbildungsbeauftragte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'tidy and sorted'!$D$84:$H$84</c:f>
              <c:strCache>
                <c:ptCount val="5"/>
                <c:pt idx="0">
                  <c:v>Perspektive auf Karrieremöglichkeiten</c:v>
                </c:pt>
                <c:pt idx="1">
                  <c:v>Offene und transparente Komunikation</c:v>
                </c:pt>
                <c:pt idx="2">
                  <c:v>Bereitschaft zur Gegenseitigen Unterstützung</c:v>
                </c:pt>
                <c:pt idx="3">
                  <c:v>Selbstständigkeit bei Aufgabenerledigung</c:v>
                </c:pt>
                <c:pt idx="4">
                  <c:v>Verantwortungsbewusster Umgang mit Ressourcen</c:v>
                </c:pt>
              </c:strCache>
            </c:strRef>
          </c:cat>
          <c:val>
            <c:numRef>
              <c:f>'tidy and sorted'!$D$85:$H$85</c:f>
              <c:numCache>
                <c:formatCode>0.0</c:formatCode>
                <c:ptCount val="5"/>
                <c:pt idx="0">
                  <c:v>7.166666666666667</c:v>
                </c:pt>
                <c:pt idx="1">
                  <c:v>8.8333333333333339</c:v>
                </c:pt>
                <c:pt idx="2">
                  <c:v>8.8333333333333339</c:v>
                </c:pt>
                <c:pt idx="3">
                  <c:v>8.3076923076923084</c:v>
                </c:pt>
                <c:pt idx="4">
                  <c:v>7.9230769230769234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A-B94A-BECD-DE9229464889}"/>
            </c:ext>
          </c:extLst>
        </c:ser>
        <c:ser>
          <c:idx val="1"/>
          <c:order val="1"/>
          <c:tx>
            <c:strRef>
              <c:f>'tidy and sorted'!$C$86</c:f>
              <c:strCache>
                <c:ptCount val="1"/>
                <c:pt idx="0">
                  <c:v>Studierende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'tidy and sorted'!$D$84:$H$84</c:f>
              <c:strCache>
                <c:ptCount val="5"/>
                <c:pt idx="0">
                  <c:v>Perspektive auf Karrieremöglichkeiten</c:v>
                </c:pt>
                <c:pt idx="1">
                  <c:v>Offene und transparente Komunikation</c:v>
                </c:pt>
                <c:pt idx="2">
                  <c:v>Bereitschaft zur Gegenseitigen Unterstützung</c:v>
                </c:pt>
                <c:pt idx="3">
                  <c:v>Selbstständigkeit bei Aufgabenerledigung</c:v>
                </c:pt>
                <c:pt idx="4">
                  <c:v>Verantwortungsbewusster Umgang mit Ressourcen</c:v>
                </c:pt>
              </c:strCache>
            </c:strRef>
          </c:cat>
          <c:val>
            <c:numRef>
              <c:f>'tidy and sorted'!$D$86:$H$86</c:f>
              <c:numCache>
                <c:formatCode>0.0</c:formatCode>
                <c:ptCount val="5"/>
                <c:pt idx="0">
                  <c:v>8.1818181818181817</c:v>
                </c:pt>
                <c:pt idx="1">
                  <c:v>9.545454545454545</c:v>
                </c:pt>
                <c:pt idx="2">
                  <c:v>9.1818181818181817</c:v>
                </c:pt>
                <c:pt idx="3">
                  <c:v>8.6666666666666661</c:v>
                </c:pt>
                <c:pt idx="4">
                  <c:v>8.1666666666666661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AA-B94A-BECD-DE9229464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13743"/>
        <c:axId val="37609007"/>
      </c:radarChart>
      <c:catAx>
        <c:axId val="3701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09007"/>
        <c:crosses val="autoZero"/>
        <c:auto val="1"/>
        <c:lblAlgn val="ctr"/>
        <c:lblOffset val="100"/>
        <c:noMultiLvlLbl val="0"/>
      </c:catAx>
      <c:valAx>
        <c:axId val="3760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1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548948</xdr:colOff>
      <xdr:row>18</xdr:row>
      <xdr:rowOff>30160</xdr:rowOff>
    </xdr:from>
    <xdr:to>
      <xdr:col>9</xdr:col>
      <xdr:colOff>824539</xdr:colOff>
      <xdr:row>45</xdr:row>
      <xdr:rowOff>201187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435114C-387B-FE25-E64A-71B2B32E5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1101603</xdr:colOff>
      <xdr:row>19</xdr:row>
      <xdr:rowOff>45441</xdr:rowOff>
    </xdr:from>
    <xdr:to>
      <xdr:col>21</xdr:col>
      <xdr:colOff>118534</xdr:colOff>
      <xdr:row>46</xdr:row>
      <xdr:rowOff>84667</xdr:rowOff>
    </xdr:to>
    <xdr:grpSp>
      <xdr:nvGrpSpPr>
        <xdr:cNvPr id="29" name="Gruppieren 28">
          <a:extLst>
            <a:ext uri="{FF2B5EF4-FFF2-40B4-BE49-F238E27FC236}">
              <a16:creationId xmlns:a16="http://schemas.microsoft.com/office/drawing/2014/main" id="{8CED5B0A-D8CC-0909-7F78-D3190108457B}"/>
            </a:ext>
          </a:extLst>
        </xdr:cNvPr>
        <xdr:cNvGrpSpPr/>
      </xdr:nvGrpSpPr>
      <xdr:grpSpPr>
        <a:xfrm>
          <a:off x="17463285" y="4620616"/>
          <a:ext cx="9328424" cy="5427655"/>
          <a:chOff x="16214603" y="3966566"/>
          <a:chExt cx="8541931" cy="5611351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8305C242-2DA4-02DF-D266-E2FD347E88C4}"/>
              </a:ext>
            </a:extLst>
          </xdr:cNvPr>
          <xdr:cNvGraphicFramePr/>
        </xdr:nvGraphicFramePr>
        <xdr:xfrm>
          <a:off x="16214603" y="3966566"/>
          <a:ext cx="8541931" cy="56113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6" name="Gerade Verbindung 5">
            <a:extLst>
              <a:ext uri="{FF2B5EF4-FFF2-40B4-BE49-F238E27FC236}">
                <a16:creationId xmlns:a16="http://schemas.microsoft.com/office/drawing/2014/main" id="{E9173594-AAA9-08A9-2553-D70E418623A7}"/>
              </a:ext>
            </a:extLst>
          </xdr:cNvPr>
          <xdr:cNvCxnSpPr/>
        </xdr:nvCxnSpPr>
        <xdr:spPr>
          <a:xfrm>
            <a:off x="19749722" y="4893163"/>
            <a:ext cx="1472712" cy="0"/>
          </a:xfrm>
          <a:prstGeom prst="line">
            <a:avLst/>
          </a:prstGeom>
          <a:ln>
            <a:solidFill>
              <a:srgbClr val="EDE228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Gerade Verbindung 6">
            <a:extLst>
              <a:ext uri="{FF2B5EF4-FFF2-40B4-BE49-F238E27FC236}">
                <a16:creationId xmlns:a16="http://schemas.microsoft.com/office/drawing/2014/main" id="{D5EF0C6E-8FBB-184B-8CA6-BB35080DAD88}"/>
              </a:ext>
            </a:extLst>
          </xdr:cNvPr>
          <xdr:cNvCxnSpPr/>
        </xdr:nvCxnSpPr>
        <xdr:spPr>
          <a:xfrm>
            <a:off x="21863295" y="5479072"/>
            <a:ext cx="1473933" cy="0"/>
          </a:xfrm>
          <a:prstGeom prst="line">
            <a:avLst/>
          </a:prstGeom>
          <a:ln>
            <a:solidFill>
              <a:srgbClr val="EDE228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Gerade Verbindung 7">
            <a:extLst>
              <a:ext uri="{FF2B5EF4-FFF2-40B4-BE49-F238E27FC236}">
                <a16:creationId xmlns:a16="http://schemas.microsoft.com/office/drawing/2014/main" id="{F2F9A7B2-6281-BF46-B397-71B4B5FD7887}"/>
              </a:ext>
            </a:extLst>
          </xdr:cNvPr>
          <xdr:cNvCxnSpPr/>
        </xdr:nvCxnSpPr>
        <xdr:spPr>
          <a:xfrm flipV="1">
            <a:off x="22639705" y="6770077"/>
            <a:ext cx="1862746" cy="1952"/>
          </a:xfrm>
          <a:prstGeom prst="line">
            <a:avLst/>
          </a:prstGeom>
          <a:ln>
            <a:solidFill>
              <a:srgbClr val="EDE228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Gerade Verbindung 10">
            <a:extLst>
              <a:ext uri="{FF2B5EF4-FFF2-40B4-BE49-F238E27FC236}">
                <a16:creationId xmlns:a16="http://schemas.microsoft.com/office/drawing/2014/main" id="{055659DD-595A-4392-46F9-8272DC8415C5}"/>
              </a:ext>
            </a:extLst>
          </xdr:cNvPr>
          <xdr:cNvCxnSpPr/>
        </xdr:nvCxnSpPr>
        <xdr:spPr>
          <a:xfrm>
            <a:off x="17329394" y="5395058"/>
            <a:ext cx="1756019" cy="0"/>
          </a:xfrm>
          <a:prstGeom prst="line">
            <a:avLst/>
          </a:prstGeom>
          <a:ln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Gerade Verbindung 11">
            <a:extLst>
              <a:ext uri="{FF2B5EF4-FFF2-40B4-BE49-F238E27FC236}">
                <a16:creationId xmlns:a16="http://schemas.microsoft.com/office/drawing/2014/main" id="{3E159FC7-181D-354B-AF01-6B14C7C49EAF}"/>
              </a:ext>
            </a:extLst>
          </xdr:cNvPr>
          <xdr:cNvCxnSpPr/>
        </xdr:nvCxnSpPr>
        <xdr:spPr>
          <a:xfrm>
            <a:off x="16563487" y="6697785"/>
            <a:ext cx="1757240" cy="0"/>
          </a:xfrm>
          <a:prstGeom prst="line">
            <a:avLst/>
          </a:prstGeom>
          <a:ln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Gerade Verbindung 12">
            <a:extLst>
              <a:ext uri="{FF2B5EF4-FFF2-40B4-BE49-F238E27FC236}">
                <a16:creationId xmlns:a16="http://schemas.microsoft.com/office/drawing/2014/main" id="{0DC7485A-F5BF-F145-91BC-42C893A59FA3}"/>
              </a:ext>
            </a:extLst>
          </xdr:cNvPr>
          <xdr:cNvCxnSpPr/>
        </xdr:nvCxnSpPr>
        <xdr:spPr>
          <a:xfrm flipV="1">
            <a:off x="17208500" y="8247063"/>
            <a:ext cx="1365250" cy="7937"/>
          </a:xfrm>
          <a:prstGeom prst="line">
            <a:avLst/>
          </a:prstGeom>
          <a:ln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Gerade Verbindung 13">
            <a:extLst>
              <a:ext uri="{FF2B5EF4-FFF2-40B4-BE49-F238E27FC236}">
                <a16:creationId xmlns:a16="http://schemas.microsoft.com/office/drawing/2014/main" id="{3CC5825A-8C35-E94D-BD1A-BCDA66CC3F59}"/>
              </a:ext>
            </a:extLst>
          </xdr:cNvPr>
          <xdr:cNvCxnSpPr/>
        </xdr:nvCxnSpPr>
        <xdr:spPr>
          <a:xfrm>
            <a:off x="17690853" y="5551365"/>
            <a:ext cx="995240" cy="0"/>
          </a:xfrm>
          <a:prstGeom prst="line">
            <a:avLst/>
          </a:prstGeom>
          <a:ln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Gerade Verbindung 16">
            <a:extLst>
              <a:ext uri="{FF2B5EF4-FFF2-40B4-BE49-F238E27FC236}">
                <a16:creationId xmlns:a16="http://schemas.microsoft.com/office/drawing/2014/main" id="{C6884774-1106-7C4D-8691-4ED9168162D3}"/>
              </a:ext>
            </a:extLst>
          </xdr:cNvPr>
          <xdr:cNvCxnSpPr/>
        </xdr:nvCxnSpPr>
        <xdr:spPr>
          <a:xfrm>
            <a:off x="17237564" y="6849206"/>
            <a:ext cx="359874" cy="856"/>
          </a:xfrm>
          <a:prstGeom prst="line">
            <a:avLst/>
          </a:prstGeom>
          <a:ln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Gerade Verbindung 22">
            <a:extLst>
              <a:ext uri="{FF2B5EF4-FFF2-40B4-BE49-F238E27FC236}">
                <a16:creationId xmlns:a16="http://schemas.microsoft.com/office/drawing/2014/main" id="{BD67FC5C-54F4-8996-7E41-4901298528EB}"/>
              </a:ext>
            </a:extLst>
          </xdr:cNvPr>
          <xdr:cNvCxnSpPr/>
        </xdr:nvCxnSpPr>
        <xdr:spPr>
          <a:xfrm>
            <a:off x="22359935" y="8247063"/>
            <a:ext cx="1055687" cy="0"/>
          </a:xfrm>
          <a:prstGeom prst="line">
            <a:avLst/>
          </a:prstGeom>
          <a:ln>
            <a:solidFill>
              <a:schemeClr val="accent5">
                <a:lumMod val="20000"/>
                <a:lumOff val="8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Gerade Verbindung 23">
            <a:extLst>
              <a:ext uri="{FF2B5EF4-FFF2-40B4-BE49-F238E27FC236}">
                <a16:creationId xmlns:a16="http://schemas.microsoft.com/office/drawing/2014/main" id="{2672F476-042D-DC4F-96B0-605473586E19}"/>
              </a:ext>
            </a:extLst>
          </xdr:cNvPr>
          <xdr:cNvCxnSpPr/>
        </xdr:nvCxnSpPr>
        <xdr:spPr>
          <a:xfrm flipV="1">
            <a:off x="18321335" y="9223375"/>
            <a:ext cx="1419228" cy="1588"/>
          </a:xfrm>
          <a:prstGeom prst="line">
            <a:avLst/>
          </a:prstGeom>
          <a:ln>
            <a:solidFill>
              <a:schemeClr val="accent5">
                <a:lumMod val="20000"/>
                <a:lumOff val="8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Gerade Verbindung 25">
            <a:extLst>
              <a:ext uri="{FF2B5EF4-FFF2-40B4-BE49-F238E27FC236}">
                <a16:creationId xmlns:a16="http://schemas.microsoft.com/office/drawing/2014/main" id="{978BFFA5-3DE6-364A-AB70-720A9C3BDC2A}"/>
              </a:ext>
            </a:extLst>
          </xdr:cNvPr>
          <xdr:cNvCxnSpPr/>
        </xdr:nvCxnSpPr>
        <xdr:spPr>
          <a:xfrm>
            <a:off x="21232811" y="9223375"/>
            <a:ext cx="1223963" cy="1588"/>
          </a:xfrm>
          <a:prstGeom prst="line">
            <a:avLst/>
          </a:prstGeom>
          <a:ln>
            <a:solidFill>
              <a:schemeClr val="accent5">
                <a:lumMod val="20000"/>
                <a:lumOff val="80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5771</xdr:colOff>
      <xdr:row>53</xdr:row>
      <xdr:rowOff>13853</xdr:rowOff>
    </xdr:from>
    <xdr:to>
      <xdr:col>9</xdr:col>
      <xdr:colOff>381000</xdr:colOff>
      <xdr:row>75</xdr:row>
      <xdr:rowOff>207817</xdr:rowOff>
    </xdr:to>
    <xdr:graphicFrame macro="">
      <xdr:nvGraphicFramePr>
        <xdr:cNvPr id="34" name="Diagramm 33">
          <a:extLst>
            <a:ext uri="{FF2B5EF4-FFF2-40B4-BE49-F238E27FC236}">
              <a16:creationId xmlns:a16="http://schemas.microsoft.com/office/drawing/2014/main" id="{5FF9A952-486A-EEA9-F182-BFB74C648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363683</xdr:colOff>
      <xdr:row>53</xdr:row>
      <xdr:rowOff>36944</xdr:rowOff>
    </xdr:from>
    <xdr:to>
      <xdr:col>16</xdr:col>
      <xdr:colOff>681182</xdr:colOff>
      <xdr:row>75</xdr:row>
      <xdr:rowOff>207817</xdr:rowOff>
    </xdr:to>
    <xdr:graphicFrame macro="">
      <xdr:nvGraphicFramePr>
        <xdr:cNvPr id="35" name="Diagramm 34">
          <a:extLst>
            <a:ext uri="{FF2B5EF4-FFF2-40B4-BE49-F238E27FC236}">
              <a16:creationId xmlns:a16="http://schemas.microsoft.com/office/drawing/2014/main" id="{B97A45CD-87B4-FD95-5921-6FFCC55CB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756226</xdr:colOff>
      <xdr:row>53</xdr:row>
      <xdr:rowOff>36946</xdr:rowOff>
    </xdr:from>
    <xdr:to>
      <xdr:col>24</xdr:col>
      <xdr:colOff>323271</xdr:colOff>
      <xdr:row>75</xdr:row>
      <xdr:rowOff>196274</xdr:rowOff>
    </xdr:to>
    <xdr:graphicFrame macro="">
      <xdr:nvGraphicFramePr>
        <xdr:cNvPr id="36" name="Diagramm 35">
          <a:extLst>
            <a:ext uri="{FF2B5EF4-FFF2-40B4-BE49-F238E27FC236}">
              <a16:creationId xmlns:a16="http://schemas.microsoft.com/office/drawing/2014/main" id="{1A902557-3FA7-4529-DD03-CAF8043B3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0.01825</cdr:x>
      <cdr:y>0.12317</cdr:y>
    </cdr:from>
    <cdr:to>
      <cdr:x>0.96382</cdr:x>
      <cdr:y>0.94212</cdr:y>
    </cdr:to>
    <cdr:grpSp>
      <cdr:nvGrpSpPr>
        <cdr:cNvPr id="5" name="Gruppieren 4">
          <a:extLst xmlns:a="http://schemas.openxmlformats.org/drawingml/2006/main">
            <a:ext uri="{FF2B5EF4-FFF2-40B4-BE49-F238E27FC236}">
              <a16:creationId xmlns:a16="http://schemas.microsoft.com/office/drawing/2014/main" id="{C9A53097-DD4E-3B8E-B1AD-62FE6C5958F4}"/>
            </a:ext>
          </a:extLst>
        </cdr:cNvPr>
        <cdr:cNvGrpSpPr/>
      </cdr:nvGrpSpPr>
      <cdr:grpSpPr>
        <a:xfrm xmlns:a="http://schemas.openxmlformats.org/drawingml/2006/main">
          <a:off x="170244" y="668524"/>
          <a:ext cx="8820678" cy="4444978"/>
          <a:chOff x="156364" y="680592"/>
          <a:chExt cx="8101015" cy="4525217"/>
        </a:xfrm>
      </cdr:grpSpPr>
      <cdr:sp macro="" textlink="">
        <cdr:nvSpPr>
          <cdr:cNvPr id="2" name="Textfeld 1">
            <a:extLst xmlns:a="http://schemas.openxmlformats.org/drawingml/2006/main">
              <a:ext uri="{FF2B5EF4-FFF2-40B4-BE49-F238E27FC236}">
                <a16:creationId xmlns:a16="http://schemas.microsoft.com/office/drawing/2014/main" id="{F2ADB7B3-7316-F225-52F6-19DE0C1944B4}"/>
              </a:ext>
            </a:extLst>
          </cdr:cNvPr>
          <cdr:cNvSpPr txBox="1"/>
        </cdr:nvSpPr>
        <cdr:spPr>
          <a:xfrm xmlns:a="http://schemas.openxmlformats.org/drawingml/2006/main">
            <a:off x="6712697" y="680592"/>
            <a:ext cx="1544682" cy="534697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EDE228">
              <a:alpha val="56078"/>
            </a:srgbClr>
          </a:solidFill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pPr algn="ctr"/>
            <a:r>
              <a:rPr lang="de-DE" sz="1100" kern="1200"/>
              <a:t>Entwickluingsbezogene  Erwartungen</a:t>
            </a:r>
          </a:p>
        </cdr:txBody>
      </cdr:sp>
      <cdr:sp macro="" textlink="">
        <cdr:nvSpPr>
          <cdr:cNvPr id="3" name="Textfeld 1">
            <a:extLst xmlns:a="http://schemas.openxmlformats.org/drawingml/2006/main">
              <a:ext uri="{FF2B5EF4-FFF2-40B4-BE49-F238E27FC236}">
                <a16:creationId xmlns:a16="http://schemas.microsoft.com/office/drawing/2014/main" id="{ABA8AF2D-505D-6442-E649-4DAA9D2C82D0}"/>
              </a:ext>
            </a:extLst>
          </cdr:cNvPr>
          <cdr:cNvSpPr txBox="1"/>
        </cdr:nvSpPr>
        <cdr:spPr>
          <a:xfrm xmlns:a="http://schemas.openxmlformats.org/drawingml/2006/main">
            <a:off x="6389750" y="4671112"/>
            <a:ext cx="1489674" cy="5346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5">
              <a:lumMod val="20000"/>
              <a:lumOff val="80000"/>
            </a:schemeClr>
          </a:solidFill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de-DE" sz="1100" kern="1200"/>
              <a:t>Relationale</a:t>
            </a:r>
            <a:r>
              <a:rPr lang="de-DE" sz="1100" kern="1200" baseline="0"/>
              <a:t> </a:t>
            </a:r>
            <a:r>
              <a:rPr lang="de-DE" sz="1100" kern="1200"/>
              <a:t> Erwartungen</a:t>
            </a:r>
          </a:p>
        </cdr:txBody>
      </cdr:sp>
      <cdr:sp macro="" textlink="">
        <cdr:nvSpPr>
          <cdr:cNvPr id="4" name="Textfeld 1">
            <a:extLst xmlns:a="http://schemas.openxmlformats.org/drawingml/2006/main">
              <a:ext uri="{FF2B5EF4-FFF2-40B4-BE49-F238E27FC236}">
                <a16:creationId xmlns:a16="http://schemas.microsoft.com/office/drawing/2014/main" id="{4F7651CF-34E9-0C7F-7740-15A616920312}"/>
              </a:ext>
            </a:extLst>
          </cdr:cNvPr>
          <cdr:cNvSpPr txBox="1"/>
        </cdr:nvSpPr>
        <cdr:spPr>
          <a:xfrm xmlns:a="http://schemas.openxmlformats.org/drawingml/2006/main">
            <a:off x="156364" y="1826525"/>
            <a:ext cx="1489673" cy="534697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accent6">
              <a:lumMod val="20000"/>
              <a:lumOff val="80000"/>
            </a:schemeClr>
          </a:solidFill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de-DE" sz="1100" kern="1200"/>
              <a:t>Transaktionale</a:t>
            </a:r>
            <a:r>
              <a:rPr lang="de-DE" sz="1100" kern="1200" baseline="0"/>
              <a:t> </a:t>
            </a:r>
            <a:r>
              <a:rPr lang="de-DE" sz="1100" kern="1200"/>
              <a:t> Erwartungen</a:t>
            </a:r>
          </a:p>
        </cdr:txBody>
      </cdr:sp>
    </cdr:grp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7FA0-02F2-F043-809C-EA127AB5E6BD}">
  <dimension ref="A1:BR87"/>
  <sheetViews>
    <sheetView tabSelected="1" zoomScale="105" zoomScaleNormal="110" workbookViewId="0">
      <selection activeCell="G14" sqref="G14"/>
    </sheetView>
  </sheetViews>
  <sheetFormatPr baseColWidth="10" defaultColWidth="11" defaultRowHeight="15.5"/>
  <cols>
    <col min="2" max="70" width="15.61328125" bestFit="1" customWidth="1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8" t="s">
        <v>31</v>
      </c>
      <c r="AG1" s="8" t="s">
        <v>32</v>
      </c>
      <c r="AH1" s="8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s="1" t="s">
        <v>70</v>
      </c>
      <c r="B2" s="9">
        <v>8.75</v>
      </c>
      <c r="C2" s="9">
        <v>8.3333333333333339</v>
      </c>
      <c r="D2" s="9">
        <v>8.4166666666666661</v>
      </c>
      <c r="E2" s="5">
        <v>7.25</v>
      </c>
      <c r="F2" s="5">
        <v>8</v>
      </c>
      <c r="G2" s="5">
        <v>8.4166666666666661</v>
      </c>
      <c r="H2" s="9">
        <v>9.0833333333333339</v>
      </c>
      <c r="I2" s="9">
        <v>9</v>
      </c>
      <c r="J2" s="9">
        <v>8.9166666666666661</v>
      </c>
      <c r="K2" s="4">
        <v>8.25</v>
      </c>
      <c r="L2" s="4">
        <v>8.3333333333333339</v>
      </c>
      <c r="M2" s="4">
        <v>8.4166666666666661</v>
      </c>
      <c r="N2" s="5">
        <v>4.25</v>
      </c>
      <c r="O2" s="5">
        <v>5</v>
      </c>
      <c r="P2" s="5">
        <v>7.166666666666667</v>
      </c>
      <c r="Q2" s="5">
        <v>5.833333333333333</v>
      </c>
      <c r="R2" s="5">
        <v>7.333333333333333</v>
      </c>
      <c r="S2" s="5">
        <v>8.5</v>
      </c>
      <c r="T2" s="4">
        <v>7.583333333333333</v>
      </c>
      <c r="U2" s="4">
        <v>7.666666666666667</v>
      </c>
      <c r="V2" s="4">
        <v>7.833333333333333</v>
      </c>
      <c r="W2" s="4">
        <v>7.833333333333333</v>
      </c>
      <c r="X2" s="4">
        <v>7.916666666666667</v>
      </c>
      <c r="Y2" s="4">
        <v>8.3333333333333339</v>
      </c>
      <c r="Z2" s="5">
        <v>7</v>
      </c>
      <c r="AA2" s="5">
        <v>8.0833333333333339</v>
      </c>
      <c r="AB2" s="5">
        <v>8.8333333333333339</v>
      </c>
      <c r="AC2" s="9">
        <v>9.5</v>
      </c>
      <c r="AD2" s="9">
        <v>9.6666666666666661</v>
      </c>
      <c r="AE2" s="9">
        <v>9.6666666666666661</v>
      </c>
      <c r="AF2" s="5">
        <v>7</v>
      </c>
      <c r="AG2" s="5">
        <v>7.666666666666667</v>
      </c>
      <c r="AH2" s="5">
        <v>8.4166666666666661</v>
      </c>
      <c r="AI2" s="4">
        <v>6.583333333333333</v>
      </c>
      <c r="AJ2" s="4">
        <v>7.583333333333333</v>
      </c>
      <c r="AK2" s="4">
        <v>8.3333333333333339</v>
      </c>
      <c r="AL2" s="9">
        <v>9.1666666666666661</v>
      </c>
      <c r="AM2" s="9">
        <v>9.1666666666666661</v>
      </c>
      <c r="AN2" s="9">
        <v>9.1666666666666661</v>
      </c>
      <c r="AO2" s="5">
        <v>6.666666666666667</v>
      </c>
      <c r="AP2" s="5">
        <v>7.916666666666667</v>
      </c>
      <c r="AQ2" s="5">
        <v>8.8333333333333339</v>
      </c>
      <c r="AR2" s="5">
        <v>6.916666666666667</v>
      </c>
      <c r="AS2" s="5">
        <v>8.0833333333333339</v>
      </c>
      <c r="AT2" s="5">
        <v>8.8333333333333339</v>
      </c>
      <c r="AU2" s="5">
        <v>6.8461538461538458</v>
      </c>
      <c r="AV2" s="5">
        <v>8.1538461538461533</v>
      </c>
      <c r="AW2" s="5">
        <v>9.3076923076923084</v>
      </c>
      <c r="AX2" s="9">
        <v>9.4615384615384617</v>
      </c>
      <c r="AY2" s="9">
        <v>9.5384615384615383</v>
      </c>
      <c r="AZ2" s="9">
        <v>9.7692307692307701</v>
      </c>
      <c r="BA2" s="9">
        <v>8.7692307692307701</v>
      </c>
      <c r="BB2" s="9">
        <v>9.1538461538461533</v>
      </c>
      <c r="BC2" s="9">
        <v>9.4615384615384617</v>
      </c>
      <c r="BD2" s="4">
        <v>8.1538461538461533</v>
      </c>
      <c r="BE2" s="4">
        <v>8.7692307692307701</v>
      </c>
      <c r="BF2" s="4">
        <v>9.384615384615385</v>
      </c>
      <c r="BG2" s="5">
        <v>3.6153846153846154</v>
      </c>
      <c r="BH2" s="5">
        <v>5.8461538461538458</v>
      </c>
      <c r="BI2" s="5">
        <v>8.3076923076923084</v>
      </c>
      <c r="BJ2" s="4">
        <v>9.2307692307692299</v>
      </c>
      <c r="BK2" s="4">
        <v>9.615384615384615</v>
      </c>
      <c r="BL2" s="4">
        <v>9.7692307692307701</v>
      </c>
      <c r="BM2" s="5">
        <v>5.8461538461538458</v>
      </c>
      <c r="BN2" s="5">
        <v>6.7692307692307692</v>
      </c>
      <c r="BO2" s="5">
        <v>7.9230769230769234</v>
      </c>
      <c r="BP2" s="4">
        <v>7.2307692307692308</v>
      </c>
      <c r="BQ2" s="4">
        <v>7.8461538461538458</v>
      </c>
      <c r="BR2" s="4">
        <v>8.3076923076923084</v>
      </c>
    </row>
    <row r="3" spans="1:70">
      <c r="A3" t="s">
        <v>71</v>
      </c>
      <c r="B3" s="10">
        <v>8.5957446808510642</v>
      </c>
      <c r="C3" s="10">
        <v>8.2413793103448274</v>
      </c>
      <c r="D3" s="10">
        <v>8.8181818181818183</v>
      </c>
      <c r="E3" s="6">
        <v>8.5833333333333339</v>
      </c>
      <c r="F3" s="6">
        <v>8.4137931034482758</v>
      </c>
      <c r="G3" s="6">
        <v>9</v>
      </c>
      <c r="H3" s="10">
        <v>8.6666666666666661</v>
      </c>
      <c r="I3" s="10">
        <v>8.4482758620689662</v>
      </c>
      <c r="J3" s="10">
        <v>9.2727272727272734</v>
      </c>
      <c r="K3" s="3">
        <v>8.75</v>
      </c>
      <c r="L3" s="3">
        <v>8.4827586206896548</v>
      </c>
      <c r="M3" s="3">
        <v>8.9090909090909083</v>
      </c>
      <c r="N3" s="6">
        <v>7.791666666666667</v>
      </c>
      <c r="O3" s="6">
        <v>7.3448275862068968</v>
      </c>
      <c r="P3" s="6">
        <v>8.1818181818181817</v>
      </c>
      <c r="Q3" s="6">
        <v>7.833333333333333</v>
      </c>
      <c r="R3" s="6">
        <v>7.7586206896551726</v>
      </c>
      <c r="S3" s="6">
        <v>8.9090909090909083</v>
      </c>
      <c r="T3" s="3">
        <v>7.479166666666667</v>
      </c>
      <c r="U3" s="3">
        <v>7.5172413793103452</v>
      </c>
      <c r="V3" s="3">
        <v>8.3636363636363633</v>
      </c>
      <c r="W3" s="3">
        <v>7.9375</v>
      </c>
      <c r="X3" s="3">
        <v>7.7931034482758621</v>
      </c>
      <c r="Y3" s="3">
        <v>8.8181818181818183</v>
      </c>
      <c r="Z3" s="6">
        <v>9.204081632653061</v>
      </c>
      <c r="AA3" s="6">
        <v>9.1</v>
      </c>
      <c r="AB3" s="6">
        <v>9.545454545454545</v>
      </c>
      <c r="AC3" s="10">
        <v>9.5510204081632661</v>
      </c>
      <c r="AD3" s="10">
        <v>9.3000000000000007</v>
      </c>
      <c r="AE3" s="10">
        <v>9.8181818181818183</v>
      </c>
      <c r="AF3" s="6">
        <v>8</v>
      </c>
      <c r="AG3" s="6">
        <v>7.8666666666666663</v>
      </c>
      <c r="AH3" s="6">
        <v>8.7272727272727266</v>
      </c>
      <c r="AI3" s="3">
        <v>7.3061224489795915</v>
      </c>
      <c r="AJ3" s="3">
        <v>6.9</v>
      </c>
      <c r="AK3" s="3">
        <v>7.9090909090909092</v>
      </c>
      <c r="AL3" s="10">
        <v>9.183673469387756</v>
      </c>
      <c r="AM3" s="10">
        <v>8.8333333333333339</v>
      </c>
      <c r="AN3" s="10">
        <v>9.3636363636363633</v>
      </c>
      <c r="AO3" s="6">
        <v>8.7551020408163271</v>
      </c>
      <c r="AP3" s="6">
        <v>8.4333333333333336</v>
      </c>
      <c r="AQ3" s="6">
        <v>9.1818181818181817</v>
      </c>
      <c r="AR3" s="6">
        <v>8.7142857142857135</v>
      </c>
      <c r="AS3" s="6">
        <v>8.4666666666666668</v>
      </c>
      <c r="AT3" s="6">
        <v>8.545454545454545</v>
      </c>
      <c r="AU3" s="6">
        <v>8.2037037037037042</v>
      </c>
      <c r="AV3" s="6">
        <v>7.9696969696969697</v>
      </c>
      <c r="AW3" s="6">
        <v>9.0833333333333339</v>
      </c>
      <c r="AX3" s="10">
        <v>9.5555555555555554</v>
      </c>
      <c r="AY3" s="10">
        <v>9.5757575757575761</v>
      </c>
      <c r="AZ3" s="10">
        <v>9.8333333333333339</v>
      </c>
      <c r="BA3" s="10">
        <v>9.018518518518519</v>
      </c>
      <c r="BB3" s="10">
        <v>8.7878787878787872</v>
      </c>
      <c r="BC3" s="10">
        <v>9.8333333333333339</v>
      </c>
      <c r="BD3" s="3">
        <v>8.7222222222222214</v>
      </c>
      <c r="BE3" s="3">
        <v>8.1212121212121211</v>
      </c>
      <c r="BF3" s="3">
        <v>9.25</v>
      </c>
      <c r="BG3" s="6">
        <v>7.2962962962962967</v>
      </c>
      <c r="BH3" s="6">
        <v>7.3939393939393936</v>
      </c>
      <c r="BI3" s="6">
        <v>8.6666666666666661</v>
      </c>
      <c r="BJ3" s="3">
        <v>9.2037037037037042</v>
      </c>
      <c r="BK3" s="3">
        <v>9.0606060606060606</v>
      </c>
      <c r="BL3" s="3">
        <v>9.4166666666666661</v>
      </c>
      <c r="BM3" s="6">
        <v>8.4259259259259256</v>
      </c>
      <c r="BN3" s="6">
        <v>7.7575757575757578</v>
      </c>
      <c r="BO3" s="6">
        <v>8.1666666666666661</v>
      </c>
      <c r="BP3" s="3">
        <v>8</v>
      </c>
      <c r="BQ3" s="3">
        <v>7.5757575757575761</v>
      </c>
      <c r="BR3" s="3">
        <v>8.1666666666666661</v>
      </c>
    </row>
    <row r="4" spans="1:70">
      <c r="A4" t="s">
        <v>72</v>
      </c>
      <c r="B4" s="11">
        <f>ABS(B2-B3)</f>
        <v>0.15425531914893575</v>
      </c>
      <c r="C4" s="11">
        <f t="shared" ref="C4:BN4" si="0">ABS(C2-C3)</f>
        <v>9.1954022988506523E-2</v>
      </c>
      <c r="D4" s="11">
        <f t="shared" si="0"/>
        <v>0.40151515151515227</v>
      </c>
      <c r="E4" s="7">
        <f t="shared" si="0"/>
        <v>1.3333333333333339</v>
      </c>
      <c r="F4" s="7">
        <f t="shared" si="0"/>
        <v>0.4137931034482758</v>
      </c>
      <c r="G4" s="7">
        <f t="shared" si="0"/>
        <v>0.58333333333333393</v>
      </c>
      <c r="H4" s="11">
        <f t="shared" si="0"/>
        <v>0.41666666666666785</v>
      </c>
      <c r="I4" s="11">
        <f t="shared" si="0"/>
        <v>0.55172413793103381</v>
      </c>
      <c r="J4" s="11">
        <f t="shared" si="0"/>
        <v>0.3560606060606073</v>
      </c>
      <c r="K4" s="2">
        <f t="shared" si="0"/>
        <v>0.5</v>
      </c>
      <c r="L4" s="2">
        <f t="shared" si="0"/>
        <v>0.14942528735632088</v>
      </c>
      <c r="M4" s="2">
        <f t="shared" si="0"/>
        <v>0.49242424242424221</v>
      </c>
      <c r="N4" s="7">
        <f t="shared" si="0"/>
        <v>3.541666666666667</v>
      </c>
      <c r="O4" s="7">
        <f t="shared" si="0"/>
        <v>2.3448275862068968</v>
      </c>
      <c r="P4" s="7">
        <f t="shared" si="0"/>
        <v>1.0151515151515147</v>
      </c>
      <c r="Q4" s="7">
        <f t="shared" si="0"/>
        <v>2</v>
      </c>
      <c r="R4" s="7">
        <f t="shared" si="0"/>
        <v>0.42528735632183956</v>
      </c>
      <c r="S4" s="7">
        <f t="shared" si="0"/>
        <v>0.40909090909090828</v>
      </c>
      <c r="T4" s="2">
        <f t="shared" si="0"/>
        <v>0.10416666666666607</v>
      </c>
      <c r="U4" s="2">
        <f t="shared" si="0"/>
        <v>0.14942528735632177</v>
      </c>
      <c r="V4" s="2">
        <f t="shared" si="0"/>
        <v>0.53030303030303028</v>
      </c>
      <c r="W4" s="2">
        <f t="shared" si="0"/>
        <v>0.10416666666666696</v>
      </c>
      <c r="X4" s="2">
        <f t="shared" si="0"/>
        <v>0.12356321839080486</v>
      </c>
      <c r="Y4" s="2">
        <f t="shared" si="0"/>
        <v>0.48484848484848442</v>
      </c>
      <c r="Z4" s="7">
        <f t="shared" si="0"/>
        <v>2.204081632653061</v>
      </c>
      <c r="AA4" s="7">
        <f t="shared" si="0"/>
        <v>1.0166666666666657</v>
      </c>
      <c r="AB4" s="7">
        <f t="shared" si="0"/>
        <v>0.71212121212121104</v>
      </c>
      <c r="AC4" s="11">
        <f t="shared" si="0"/>
        <v>5.102040816326614E-2</v>
      </c>
      <c r="AD4" s="11">
        <f t="shared" si="0"/>
        <v>0.36666666666666536</v>
      </c>
      <c r="AE4" s="11">
        <f t="shared" si="0"/>
        <v>0.15151515151515227</v>
      </c>
      <c r="AF4" s="7">
        <f t="shared" si="0"/>
        <v>1</v>
      </c>
      <c r="AG4" s="7">
        <f t="shared" si="0"/>
        <v>0.19999999999999929</v>
      </c>
      <c r="AH4" s="7">
        <f t="shared" si="0"/>
        <v>0.31060606060606055</v>
      </c>
      <c r="AI4" s="2">
        <f t="shared" si="0"/>
        <v>0.72278911564625847</v>
      </c>
      <c r="AJ4" s="2">
        <f t="shared" si="0"/>
        <v>0.68333333333333268</v>
      </c>
      <c r="AK4" s="2">
        <f t="shared" si="0"/>
        <v>0.42424242424242475</v>
      </c>
      <c r="AL4" s="11">
        <f t="shared" si="0"/>
        <v>1.7006802721089898E-2</v>
      </c>
      <c r="AM4" s="11">
        <f t="shared" si="0"/>
        <v>0.33333333333333215</v>
      </c>
      <c r="AN4" s="11">
        <f t="shared" si="0"/>
        <v>0.19696969696969724</v>
      </c>
      <c r="AO4" s="7">
        <f t="shared" si="0"/>
        <v>2.0884353741496602</v>
      </c>
      <c r="AP4" s="7">
        <f t="shared" si="0"/>
        <v>0.51666666666666661</v>
      </c>
      <c r="AQ4" s="7">
        <f t="shared" si="0"/>
        <v>0.34848484848484773</v>
      </c>
      <c r="AR4" s="7">
        <f t="shared" si="0"/>
        <v>1.7976190476190466</v>
      </c>
      <c r="AS4" s="7">
        <f t="shared" si="0"/>
        <v>0.38333333333333286</v>
      </c>
      <c r="AT4" s="7">
        <f t="shared" si="0"/>
        <v>0.28787878787878896</v>
      </c>
      <c r="AU4" s="7">
        <f t="shared" si="0"/>
        <v>1.3575498575498584</v>
      </c>
      <c r="AV4" s="7">
        <f t="shared" si="0"/>
        <v>0.18414918414918358</v>
      </c>
      <c r="AW4" s="7">
        <f t="shared" si="0"/>
        <v>0.22435897435897445</v>
      </c>
      <c r="AX4" s="11">
        <f t="shared" si="0"/>
        <v>9.4017094017093683E-2</v>
      </c>
      <c r="AY4" s="11">
        <f t="shared" si="0"/>
        <v>3.7296037296037809E-2</v>
      </c>
      <c r="AZ4" s="11">
        <f t="shared" si="0"/>
        <v>6.4102564102563875E-2</v>
      </c>
      <c r="BA4" s="11">
        <f t="shared" si="0"/>
        <v>0.24928774928774899</v>
      </c>
      <c r="BB4" s="11">
        <f t="shared" si="0"/>
        <v>0.36596736596736612</v>
      </c>
      <c r="BC4" s="11">
        <f t="shared" si="0"/>
        <v>0.37179487179487225</v>
      </c>
      <c r="BD4" s="2">
        <f t="shared" si="0"/>
        <v>0.56837606837606813</v>
      </c>
      <c r="BE4" s="2">
        <f t="shared" si="0"/>
        <v>0.64801864801864895</v>
      </c>
      <c r="BF4" s="2">
        <f t="shared" si="0"/>
        <v>0.13461538461538503</v>
      </c>
      <c r="BG4" s="7">
        <f t="shared" si="0"/>
        <v>3.6809116809116813</v>
      </c>
      <c r="BH4" s="7">
        <f t="shared" si="0"/>
        <v>1.5477855477855478</v>
      </c>
      <c r="BI4" s="7">
        <f t="shared" si="0"/>
        <v>0.3589743589743577</v>
      </c>
      <c r="BJ4" s="2">
        <f t="shared" si="0"/>
        <v>2.7065527065525785E-2</v>
      </c>
      <c r="BK4" s="2">
        <f t="shared" si="0"/>
        <v>0.55477855477855442</v>
      </c>
      <c r="BL4" s="2">
        <f t="shared" si="0"/>
        <v>0.35256410256410398</v>
      </c>
      <c r="BM4" s="7">
        <f t="shared" si="0"/>
        <v>2.5797720797720798</v>
      </c>
      <c r="BN4" s="7">
        <f t="shared" si="0"/>
        <v>0.98834498834498863</v>
      </c>
      <c r="BO4" s="7">
        <f t="shared" ref="BO4:BR4" si="1">ABS(BO2-BO3)</f>
        <v>0.24358974358974272</v>
      </c>
      <c r="BP4" s="2">
        <f t="shared" si="1"/>
        <v>0.76923076923076916</v>
      </c>
      <c r="BQ4" s="2">
        <f t="shared" si="1"/>
        <v>0.27039627039626968</v>
      </c>
      <c r="BR4" s="2">
        <f t="shared" si="1"/>
        <v>0.1410256410256423</v>
      </c>
    </row>
    <row r="5" spans="1:70"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 t="s">
        <v>92</v>
      </c>
      <c r="V5" t="s">
        <v>93</v>
      </c>
      <c r="W5" t="s">
        <v>94</v>
      </c>
      <c r="X5" t="s">
        <v>95</v>
      </c>
    </row>
    <row r="6" spans="1:70">
      <c r="A6" t="s">
        <v>96</v>
      </c>
      <c r="B6" s="10">
        <v>8.5</v>
      </c>
      <c r="C6" s="3">
        <v>7.8888888888888884</v>
      </c>
      <c r="D6" s="10">
        <v>9</v>
      </c>
      <c r="E6" s="10">
        <v>8.3333333333333339</v>
      </c>
      <c r="F6" s="6">
        <v>5.4722222222222223</v>
      </c>
      <c r="G6" s="3">
        <v>7.2222222222222214</v>
      </c>
      <c r="H6" s="10">
        <v>7.6944444444444446</v>
      </c>
      <c r="I6" s="10">
        <v>8.0277777777777786</v>
      </c>
      <c r="J6" s="6">
        <v>7.9722222222222232</v>
      </c>
      <c r="K6" s="10">
        <v>9.6111111111111107</v>
      </c>
      <c r="L6" s="3">
        <v>7.6944444444444446</v>
      </c>
      <c r="M6" s="10">
        <v>7.5</v>
      </c>
      <c r="N6" s="10">
        <v>9.1666666666666661</v>
      </c>
      <c r="O6" s="6">
        <v>7.8055555555555554</v>
      </c>
      <c r="P6" s="3">
        <v>7.9444444444444446</v>
      </c>
      <c r="Q6" s="10">
        <v>8.1025641025641022</v>
      </c>
      <c r="R6" s="10">
        <v>9.5897435897435894</v>
      </c>
      <c r="S6" s="10">
        <v>9.1282051282051277</v>
      </c>
      <c r="T6" s="10">
        <v>8.7692307692307683</v>
      </c>
      <c r="U6" s="6">
        <v>5.9230769230769234</v>
      </c>
      <c r="V6" s="10">
        <v>9.5384615384615383</v>
      </c>
      <c r="W6" s="6">
        <v>6.8461538461538467</v>
      </c>
      <c r="X6" s="10">
        <v>7.7948717948717956</v>
      </c>
      <c r="Y6" s="3"/>
      <c r="Z6" s="3"/>
      <c r="AA6" s="3"/>
      <c r="AB6" s="2"/>
      <c r="AC6" s="2"/>
      <c r="AD6" s="2"/>
    </row>
    <row r="7" spans="1:70">
      <c r="A7" t="s">
        <v>71</v>
      </c>
      <c r="B7" s="10">
        <v>8.5517686031259039</v>
      </c>
      <c r="C7" s="3">
        <v>8.6657088122605366</v>
      </c>
      <c r="D7" s="10">
        <v>8.7958899338209697</v>
      </c>
      <c r="E7" s="10">
        <v>8.7139498432601865</v>
      </c>
      <c r="F7" s="6">
        <v>7.7727708115639143</v>
      </c>
      <c r="G7" s="3">
        <v>8.1670149773598038</v>
      </c>
      <c r="H7" s="10">
        <v>7.7866814698711249</v>
      </c>
      <c r="I7" s="10">
        <v>8.1829284221525604</v>
      </c>
      <c r="J7" s="6">
        <v>9.2831787260358691</v>
      </c>
      <c r="K7" s="10">
        <v>9.556400742115029</v>
      </c>
      <c r="L7" s="3">
        <v>8.1979797979797979</v>
      </c>
      <c r="M7" s="10">
        <v>7.3717377860235</v>
      </c>
      <c r="N7" s="10">
        <v>9.1268810554524844</v>
      </c>
      <c r="O7" s="6">
        <v>8.7900845186559486</v>
      </c>
      <c r="P7" s="3">
        <v>8.5754689754689757</v>
      </c>
      <c r="Q7" s="10">
        <v>8.4189113355780023</v>
      </c>
      <c r="R7" s="10">
        <v>9.6548821548821557</v>
      </c>
      <c r="S7" s="10">
        <v>9.21324354657688</v>
      </c>
      <c r="T7" s="10">
        <v>8.6978114478114481</v>
      </c>
      <c r="U7" s="6">
        <v>7.7856341189674527</v>
      </c>
      <c r="V7" s="10">
        <v>9.2269921436588103</v>
      </c>
      <c r="W7" s="6">
        <v>8.1167227833894504</v>
      </c>
      <c r="X7" s="10">
        <v>7.9141414141414135</v>
      </c>
      <c r="Y7" s="3"/>
      <c r="Z7" s="3"/>
      <c r="AA7" s="3"/>
      <c r="AB7" s="2"/>
      <c r="AC7" s="2"/>
      <c r="AD7" s="2"/>
    </row>
    <row r="8" spans="1:70">
      <c r="A8" t="s">
        <v>72</v>
      </c>
      <c r="B8" s="10">
        <f>ABS(B6-B7)</f>
        <v>5.1768603125903923E-2</v>
      </c>
      <c r="C8" s="3">
        <f t="shared" ref="C8:X8" si="2">ABS(C6-C7)</f>
        <v>0.77681992337164818</v>
      </c>
      <c r="D8" s="10">
        <f t="shared" si="2"/>
        <v>0.20411006617903027</v>
      </c>
      <c r="E8" s="10">
        <f t="shared" si="2"/>
        <v>0.38061650992685259</v>
      </c>
      <c r="F8" s="6">
        <f t="shared" si="2"/>
        <v>2.3005485893416919</v>
      </c>
      <c r="G8" s="3">
        <f t="shared" si="2"/>
        <v>0.94479275513758232</v>
      </c>
      <c r="H8" s="10">
        <f t="shared" si="2"/>
        <v>9.2237025426680219E-2</v>
      </c>
      <c r="I8" s="10">
        <f t="shared" si="2"/>
        <v>0.15515064437478188</v>
      </c>
      <c r="J8" s="6">
        <f t="shared" si="2"/>
        <v>1.3109565038136459</v>
      </c>
      <c r="K8" s="10">
        <f t="shared" si="2"/>
        <v>5.4710368996081726E-2</v>
      </c>
      <c r="L8" s="3">
        <f t="shared" si="2"/>
        <v>0.50353535353535328</v>
      </c>
      <c r="M8" s="10">
        <f t="shared" si="2"/>
        <v>0.12826221397649995</v>
      </c>
      <c r="N8" s="10">
        <f t="shared" si="2"/>
        <v>3.9785611214181671E-2</v>
      </c>
      <c r="O8" s="6">
        <f t="shared" si="2"/>
        <v>0.98452896310039328</v>
      </c>
      <c r="P8" s="3">
        <f t="shared" si="2"/>
        <v>0.63102453102453104</v>
      </c>
      <c r="Q8" s="10">
        <f t="shared" si="2"/>
        <v>0.31634723301390011</v>
      </c>
      <c r="R8" s="10">
        <f t="shared" si="2"/>
        <v>6.5138565138566307E-2</v>
      </c>
      <c r="S8" s="10">
        <f t="shared" si="2"/>
        <v>8.50384183717523E-2</v>
      </c>
      <c r="T8" s="10">
        <f t="shared" si="2"/>
        <v>7.141932141932017E-2</v>
      </c>
      <c r="U8" s="6">
        <f t="shared" si="2"/>
        <v>1.8625571958905294</v>
      </c>
      <c r="V8" s="10">
        <f t="shared" si="2"/>
        <v>0.31146939480272806</v>
      </c>
      <c r="W8" s="6">
        <f t="shared" si="2"/>
        <v>1.2705689372356037</v>
      </c>
      <c r="X8" s="10">
        <f t="shared" si="2"/>
        <v>0.11926961926961788</v>
      </c>
      <c r="Y8" s="3"/>
      <c r="Z8" s="3"/>
      <c r="AA8" s="3"/>
      <c r="AB8" s="2"/>
      <c r="AC8" s="2"/>
      <c r="AD8" s="2"/>
    </row>
    <row r="9" spans="1:70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2"/>
      <c r="AC9" s="2"/>
      <c r="AD9" s="2"/>
    </row>
    <row r="10" spans="1:70" ht="77.5">
      <c r="A10" s="20" t="s">
        <v>97</v>
      </c>
      <c r="B10" s="18" t="s">
        <v>98</v>
      </c>
      <c r="C10" s="17">
        <f>AVERAGE(B8:X8)</f>
        <v>0.55046331946464677</v>
      </c>
      <c r="D10" s="16" t="s">
        <v>99</v>
      </c>
      <c r="E10" s="3"/>
      <c r="F10" s="19" t="s">
        <v>100</v>
      </c>
      <c r="G10" s="16">
        <f>_xlfn.STDEV.P(B8:X8)</f>
        <v>0.61549534794093863</v>
      </c>
      <c r="H10" s="3"/>
      <c r="I10" s="17" t="s">
        <v>101</v>
      </c>
      <c r="J10" s="16">
        <f>_xlfn.VAR.P(B8:X8)</f>
        <v>0.37883452333693707</v>
      </c>
      <c r="K10" s="3"/>
      <c r="L10" s="17" t="s">
        <v>102</v>
      </c>
      <c r="M10" s="16">
        <f>MAX(B8:X8)-MIN(B8:X8)</f>
        <v>2.2607629781275103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2"/>
      <c r="AC10" s="2"/>
      <c r="AD10" s="2"/>
    </row>
    <row r="11" spans="1:70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70">
      <c r="B12" s="3" t="s">
        <v>103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4" spans="1:70">
      <c r="F14" s="14" t="s">
        <v>104</v>
      </c>
      <c r="G14" t="s">
        <v>77</v>
      </c>
      <c r="H14" t="s">
        <v>81</v>
      </c>
      <c r="I14" t="s">
        <v>86</v>
      </c>
      <c r="J14" t="s">
        <v>92</v>
      </c>
      <c r="K14" t="s">
        <v>94</v>
      </c>
      <c r="N14" s="14" t="s">
        <v>105</v>
      </c>
      <c r="O14" s="22" t="s">
        <v>73</v>
      </c>
      <c r="P14" s="22" t="s">
        <v>75</v>
      </c>
      <c r="Q14" s="22" t="s">
        <v>76</v>
      </c>
      <c r="R14" s="22" t="s">
        <v>82</v>
      </c>
      <c r="S14" s="22" t="s">
        <v>85</v>
      </c>
      <c r="T14" s="22" t="s">
        <v>90</v>
      </c>
      <c r="U14" s="22" t="s">
        <v>91</v>
      </c>
      <c r="V14" s="22" t="s">
        <v>93</v>
      </c>
      <c r="W14" t="s">
        <v>95</v>
      </c>
    </row>
    <row r="15" spans="1:70">
      <c r="F15" t="s">
        <v>106</v>
      </c>
      <c r="G15" s="6">
        <v>5.4722222222222223</v>
      </c>
      <c r="H15" s="6">
        <v>7.9722222222222232</v>
      </c>
      <c r="I15" s="6">
        <v>7.8055555555555554</v>
      </c>
      <c r="J15" s="6">
        <v>5.9230769230769234</v>
      </c>
      <c r="K15" s="6">
        <v>6.8461538461538467</v>
      </c>
      <c r="N15" t="s">
        <v>106</v>
      </c>
      <c r="O15" s="10">
        <v>8.5</v>
      </c>
      <c r="P15" s="10">
        <v>9</v>
      </c>
      <c r="Q15" s="10">
        <v>8.3333333333333339</v>
      </c>
      <c r="R15" s="10">
        <v>9.6111111111111107</v>
      </c>
      <c r="S15" s="10">
        <v>9.1666666666666661</v>
      </c>
      <c r="T15" s="10">
        <v>9.1282051282051277</v>
      </c>
      <c r="U15" s="10">
        <v>8.7692307692307683</v>
      </c>
      <c r="V15" s="10">
        <v>9.5384615384615383</v>
      </c>
      <c r="W15" s="10">
        <v>7.7948717948717956</v>
      </c>
    </row>
    <row r="16" spans="1:70">
      <c r="F16" t="s">
        <v>107</v>
      </c>
      <c r="G16" s="6">
        <v>7.7727708115639143</v>
      </c>
      <c r="H16" s="6">
        <v>9.2831787260358691</v>
      </c>
      <c r="I16" s="6">
        <v>8.7900845186559486</v>
      </c>
      <c r="J16" s="6">
        <v>7.7856341189674527</v>
      </c>
      <c r="K16" s="6">
        <v>8.1167227833894504</v>
      </c>
      <c r="N16" t="s">
        <v>107</v>
      </c>
      <c r="O16" s="10">
        <v>8.5517686031259039</v>
      </c>
      <c r="P16" s="10">
        <v>8.7958899338209697</v>
      </c>
      <c r="Q16" s="10">
        <v>8.7139498432601865</v>
      </c>
      <c r="R16" s="10">
        <v>9.556400742115029</v>
      </c>
      <c r="S16" s="10">
        <v>9.1268810554524844</v>
      </c>
      <c r="T16" s="10">
        <v>9.21324354657688</v>
      </c>
      <c r="U16" s="10">
        <v>8.6978114478114481</v>
      </c>
      <c r="V16" s="10">
        <v>9.2269921436588103</v>
      </c>
      <c r="W16" s="10">
        <v>7.9141414141414135</v>
      </c>
    </row>
    <row r="17" spans="2:23">
      <c r="B17" s="13" t="s">
        <v>108</v>
      </c>
      <c r="C17" s="13"/>
      <c r="G17" s="6">
        <f t="shared" ref="G17:K17" si="3">ABS(G15-G16)</f>
        <v>2.3005485893416919</v>
      </c>
      <c r="H17" s="6">
        <f t="shared" si="3"/>
        <v>1.3109565038136459</v>
      </c>
      <c r="I17" s="6">
        <f t="shared" si="3"/>
        <v>0.98452896310039328</v>
      </c>
      <c r="J17" s="6">
        <f t="shared" si="3"/>
        <v>1.8625571958905294</v>
      </c>
      <c r="K17" s="6">
        <f t="shared" si="3"/>
        <v>1.2705689372356037</v>
      </c>
      <c r="O17" s="10">
        <f>ABS(O15-O16)</f>
        <v>5.1768603125903923E-2</v>
      </c>
      <c r="P17" s="10">
        <f t="shared" ref="P17:W17" si="4">ABS(P15-P16)</f>
        <v>0.20411006617903027</v>
      </c>
      <c r="Q17" s="10">
        <f t="shared" si="4"/>
        <v>0.38061650992685259</v>
      </c>
      <c r="R17" s="10">
        <f t="shared" si="4"/>
        <v>5.4710368996081726E-2</v>
      </c>
      <c r="S17" s="10">
        <f t="shared" si="4"/>
        <v>3.9785611214181671E-2</v>
      </c>
      <c r="T17" s="10">
        <f t="shared" si="4"/>
        <v>8.50384183717523E-2</v>
      </c>
      <c r="U17" s="10">
        <f t="shared" si="4"/>
        <v>7.141932141932017E-2</v>
      </c>
      <c r="V17" s="10">
        <f t="shared" si="4"/>
        <v>0.31146939480272806</v>
      </c>
      <c r="W17" s="10">
        <f t="shared" si="4"/>
        <v>0.11926961926961788</v>
      </c>
    </row>
    <row r="18" spans="2:23">
      <c r="B18" s="12" t="s">
        <v>109</v>
      </c>
      <c r="C18" s="12"/>
    </row>
    <row r="48" spans="11:11">
      <c r="K48" s="1"/>
    </row>
    <row r="49" spans="2:11">
      <c r="B49" s="15" t="s">
        <v>110</v>
      </c>
      <c r="C49" s="14" t="s">
        <v>111</v>
      </c>
      <c r="D49" t="s">
        <v>77</v>
      </c>
      <c r="E49" t="s">
        <v>81</v>
      </c>
      <c r="F49" t="s">
        <v>86</v>
      </c>
      <c r="G49" t="s">
        <v>92</v>
      </c>
      <c r="H49" t="s">
        <v>94</v>
      </c>
      <c r="K49" s="5"/>
    </row>
    <row r="50" spans="2:11">
      <c r="C50" t="s">
        <v>106</v>
      </c>
      <c r="D50" s="5">
        <v>4.25</v>
      </c>
      <c r="E50" s="5">
        <v>7</v>
      </c>
      <c r="F50" s="5">
        <v>6.666666666666667</v>
      </c>
      <c r="G50" s="5">
        <v>3.6153846153846154</v>
      </c>
      <c r="H50" s="5">
        <v>5.8461538461538458</v>
      </c>
      <c r="K50" s="6"/>
    </row>
    <row r="51" spans="2:11">
      <c r="C51" t="s">
        <v>107</v>
      </c>
      <c r="D51" s="6">
        <v>7.791666666666667</v>
      </c>
      <c r="E51" s="6">
        <v>9.204081632653061</v>
      </c>
      <c r="F51" s="6">
        <v>8.7551020408163271</v>
      </c>
      <c r="G51" s="6">
        <v>7.2962962962962967</v>
      </c>
      <c r="H51" s="6">
        <v>8.4259259259259256</v>
      </c>
      <c r="K51" s="7"/>
    </row>
    <row r="52" spans="2:11">
      <c r="D52" s="21">
        <v>3.5</v>
      </c>
      <c r="E52" s="7">
        <v>2.2000000000000002</v>
      </c>
      <c r="F52">
        <v>2.1</v>
      </c>
      <c r="G52" s="21">
        <v>3.7</v>
      </c>
      <c r="H52" s="7">
        <v>2.6</v>
      </c>
    </row>
    <row r="79" spans="3:8">
      <c r="C79" s="14" t="s">
        <v>113</v>
      </c>
      <c r="D79" t="s">
        <v>77</v>
      </c>
      <c r="E79" t="s">
        <v>81</v>
      </c>
      <c r="F79" t="s">
        <v>86</v>
      </c>
      <c r="G79" t="s">
        <v>92</v>
      </c>
      <c r="H79" t="s">
        <v>94</v>
      </c>
    </row>
    <row r="80" spans="3:8">
      <c r="C80" t="s">
        <v>106</v>
      </c>
      <c r="D80" s="5">
        <v>5</v>
      </c>
      <c r="E80" s="5">
        <v>8.0833333333333339</v>
      </c>
      <c r="F80" s="5">
        <v>7.916666666666667</v>
      </c>
      <c r="G80" s="5">
        <v>5.8461538461538458</v>
      </c>
      <c r="H80" s="5">
        <v>6.7692307692307692</v>
      </c>
    </row>
    <row r="81" spans="3:8">
      <c r="C81" t="s">
        <v>107</v>
      </c>
      <c r="D81" s="6">
        <v>7.3448275862068968</v>
      </c>
      <c r="E81" s="6">
        <v>9.1</v>
      </c>
      <c r="F81" s="6">
        <v>8.4333333333333336</v>
      </c>
      <c r="G81" s="6">
        <v>7.3939393939393936</v>
      </c>
      <c r="H81" s="6">
        <v>7.7575757575757578</v>
      </c>
    </row>
    <row r="82" spans="3:8">
      <c r="D82" s="21">
        <v>2.2999999999999998</v>
      </c>
      <c r="E82">
        <v>1</v>
      </c>
      <c r="F82">
        <v>0.5</v>
      </c>
      <c r="G82" s="21">
        <v>1.6</v>
      </c>
      <c r="H82">
        <v>1</v>
      </c>
    </row>
    <row r="84" spans="3:8">
      <c r="C84" s="14" t="s">
        <v>112</v>
      </c>
      <c r="D84" t="s">
        <v>77</v>
      </c>
      <c r="E84" t="s">
        <v>81</v>
      </c>
      <c r="F84" t="s">
        <v>86</v>
      </c>
      <c r="G84" t="s">
        <v>92</v>
      </c>
      <c r="H84" t="s">
        <v>94</v>
      </c>
    </row>
    <row r="85" spans="3:8">
      <c r="C85" t="s">
        <v>106</v>
      </c>
      <c r="D85" s="5">
        <v>7.166666666666667</v>
      </c>
      <c r="E85" s="5">
        <v>8.8333333333333339</v>
      </c>
      <c r="F85" s="5">
        <v>8.8333333333333339</v>
      </c>
      <c r="G85" s="5">
        <v>8.3076923076923084</v>
      </c>
      <c r="H85" s="5">
        <v>7.9230769230769234</v>
      </c>
    </row>
    <row r="86" spans="3:8">
      <c r="C86" t="s">
        <v>107</v>
      </c>
      <c r="D86" s="6">
        <v>8.1818181818181817</v>
      </c>
      <c r="E86" s="6">
        <v>9.545454545454545</v>
      </c>
      <c r="F86" s="6">
        <v>9.1818181818181817</v>
      </c>
      <c r="G86" s="6">
        <v>8.6666666666666661</v>
      </c>
      <c r="H86" s="6">
        <v>8.1666666666666661</v>
      </c>
    </row>
    <row r="87" spans="3:8">
      <c r="D87" s="21">
        <v>1</v>
      </c>
      <c r="E87">
        <v>0.7</v>
      </c>
      <c r="F87" s="7">
        <v>0.4</v>
      </c>
      <c r="G87">
        <v>0.4</v>
      </c>
      <c r="H87">
        <v>0.3</v>
      </c>
    </row>
  </sheetData>
  <phoneticPr fontId="2" type="noConversion"/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721CEF32A07E5429C63AB5F8659DDF5" ma:contentTypeVersion="11" ma:contentTypeDescription="Ein neues Dokument erstellen." ma:contentTypeScope="" ma:versionID="edf99ef3b7578d969fd7f5a201b43a5c">
  <xsd:schema xmlns:xsd="http://www.w3.org/2001/XMLSchema" xmlns:xs="http://www.w3.org/2001/XMLSchema" xmlns:p="http://schemas.microsoft.com/office/2006/metadata/properties" xmlns:ns2="db614a60-015e-4343-817e-86ff6ccb0f29" xmlns:ns3="b5cbafe5-dd16-40ca-a85f-37c2dd826dfc" targetNamespace="http://schemas.microsoft.com/office/2006/metadata/properties" ma:root="true" ma:fieldsID="e4b291356db0f5fba158ad1e39c11cea" ns2:_="" ns3:_="">
    <xsd:import namespace="db614a60-015e-4343-817e-86ff6ccb0f29"/>
    <xsd:import namespace="b5cbafe5-dd16-40ca-a85f-37c2dd826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14a60-015e-4343-817e-86ff6ccb0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72398994-9974-444b-81c9-7272fff9a1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bafe5-dd16-40ca-a85f-37c2dd826df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e75e3bd-c416-4e5a-b4ea-52e731f5327b}" ma:internalName="TaxCatchAll" ma:showField="CatchAllData" ma:web="b5cbafe5-dd16-40ca-a85f-37c2dd826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614a60-015e-4343-817e-86ff6ccb0f29">
      <Terms xmlns="http://schemas.microsoft.com/office/infopath/2007/PartnerControls"/>
    </lcf76f155ced4ddcb4097134ff3c332f>
    <TaxCatchAll xmlns="b5cbafe5-dd16-40ca-a85f-37c2dd826df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F50BEF-D4DF-4938-89E0-F3B80885A2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14a60-015e-4343-817e-86ff6ccb0f29"/>
    <ds:schemaRef ds:uri="b5cbafe5-dd16-40ca-a85f-37c2dd826d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2E4FBF-ED4D-4D2D-9B86-FBBC0B3A1E3C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db614a60-015e-4343-817e-86ff6ccb0f29"/>
    <ds:schemaRef ds:uri="http://schemas.microsoft.com/office/infopath/2007/PartnerControls"/>
    <ds:schemaRef ds:uri="http://purl.org/dc/dcmitype/"/>
    <ds:schemaRef ds:uri="b5cbafe5-dd16-40ca-a85f-37c2dd826dfc"/>
  </ds:schemaRefs>
</ds:datastoreItem>
</file>

<file path=customXml/itemProps3.xml><?xml version="1.0" encoding="utf-8"?>
<ds:datastoreItem xmlns:ds="http://schemas.openxmlformats.org/officeDocument/2006/customXml" ds:itemID="{0E91E0BA-B919-459D-9D59-9B89C894AC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tidy and sorted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Barden</dc:creator>
  <cp:keywords/>
  <dc:description/>
  <cp:lastModifiedBy>Barden, Nicolas Alexander</cp:lastModifiedBy>
  <cp:revision/>
  <dcterms:created xsi:type="dcterms:W3CDTF">2026-04-19T09:36:36Z</dcterms:created>
  <dcterms:modified xsi:type="dcterms:W3CDTF">2026-05-31T09:33:06Z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0x010100F721CEF32A07E5429C63AB5F8659DDF5</vt:lpwstr>
  </property>
</Properties>
</file>